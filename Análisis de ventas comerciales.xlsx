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m75\Documents\Practicas análisis de datos con Excel\"/>
    </mc:Choice>
  </mc:AlternateContent>
  <xr:revisionPtr revIDLastSave="0" documentId="13_ncr:1_{F021AC31-3DAD-4327-940D-2517C87E475D}" xr6:coauthVersionLast="47" xr6:coauthVersionMax="47" xr10:uidLastSave="{00000000-0000-0000-0000-000000000000}"/>
  <bookViews>
    <workbookView xWindow="-110" yWindow="-110" windowWidth="19420" windowHeight="10420" firstSheet="4" activeTab="6" xr2:uid="{00000000-000D-0000-FFFF-FFFF00000000}"/>
  </bookViews>
  <sheets>
    <sheet name="EJERCICIO 1" sheetId="1" state="hidden" r:id="rId1"/>
    <sheet name="EJERCICIO 2" sheetId="2" state="hidden" r:id="rId2"/>
    <sheet name="EJERCICIO 3" sheetId="3" state="hidden" r:id="rId3"/>
    <sheet name="Tablas dinámicas comercial" sheetId="7" state="hidden" r:id="rId4"/>
    <sheet name="Planilla de ventas por local" sheetId="4" r:id="rId5"/>
    <sheet name="Tablas dinámicas vendedores" sheetId="9" state="hidden" r:id="rId6"/>
    <sheet name="Dashboard Comercial" sheetId="6" r:id="rId7"/>
    <sheet name="Dashboard de vendedores" sheetId="8" r:id="rId8"/>
  </sheets>
  <definedNames>
    <definedName name="_xlnm._FilterDatabase" localSheetId="4" hidden="1">'Planilla de ventas por local'!$J$1:$J$409</definedName>
    <definedName name="Cantidades">Tabla1[Cantidad]</definedName>
    <definedName name="SegmentaciónDeDatos_Categoría">#N/A</definedName>
    <definedName name="SegmentaciónDeDatos_Forma_de_Pago">#N/A</definedName>
    <definedName name="SegmentaciónDeDatos_Forma_de_Pago1">#N/A</definedName>
    <definedName name="SegmentaciónDeDatos_Local">#N/A</definedName>
    <definedName name="SegmentaciónDeDatos_Local1">#N/A</definedName>
    <definedName name="SegmentaciónDeDatos_Marca">#N/A</definedName>
    <definedName name="SegmentaciónDeDatos_Vendedor">#N/A</definedName>
    <definedName name="Totales">Tabla1[Total]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20" roundtripDataChecksum="yzMd1v8ZcEhpJ0qjs3+7rmQFiXg9UvcorvJ581pF3+M=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2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C5" i="2"/>
  <c r="D5" i="2" s="1"/>
  <c r="E5" i="2" s="1"/>
  <c r="F5" i="2" s="1"/>
  <c r="G5" i="2" s="1"/>
  <c r="D4" i="2"/>
  <c r="E4" i="2" s="1"/>
  <c r="F4" i="2" s="1"/>
  <c r="G4" i="2" s="1"/>
  <c r="C4" i="2"/>
  <c r="D3" i="2"/>
  <c r="E3" i="2" s="1"/>
  <c r="F3" i="2" s="1"/>
  <c r="G3" i="2" s="1"/>
  <c r="C3" i="2"/>
  <c r="C2" i="2"/>
  <c r="D2" i="2" s="1"/>
  <c r="E2" i="2" s="1"/>
  <c r="F2" i="2" s="1"/>
  <c r="G2" i="2" s="1"/>
  <c r="E13" i="7"/>
  <c r="H3" i="6"/>
  <c r="B3" i="8"/>
  <c r="E3" i="6"/>
  <c r="B3" i="6"/>
  <c r="I3" i="8"/>
  <c r="F3" i="8"/>
</calcChain>
</file>

<file path=xl/sharedStrings.xml><?xml version="1.0" encoding="utf-8"?>
<sst xmlns="http://schemas.openxmlformats.org/spreadsheetml/2006/main" count="2667" uniqueCount="132">
  <si>
    <t>APLICAR FORMATO CONDICIONAL SEGÚN INDICA LOS ENCABEZADOS DE COLUMNAS</t>
  </si>
  <si>
    <t>10 superiores</t>
  </si>
  <si>
    <t>10 inferiores</t>
  </si>
  <si>
    <t>20%  valores superiores</t>
  </si>
  <si>
    <t>20% valores inferiores</t>
  </si>
  <si>
    <t>Encima del promedio</t>
  </si>
  <si>
    <t>Debajo del promedio</t>
  </si>
  <si>
    <t>MESES</t>
  </si>
  <si>
    <t>JULIO</t>
  </si>
  <si>
    <t>AGOSTO</t>
  </si>
  <si>
    <t>SEPTIEMBRE</t>
  </si>
  <si>
    <t>OCTUBRE</t>
  </si>
  <si>
    <t>NOVIEMBRE</t>
  </si>
  <si>
    <t>DICIEMBRE</t>
  </si>
  <si>
    <t>Pedro Martinez</t>
  </si>
  <si>
    <t>Maria Garcia</t>
  </si>
  <si>
    <t>Alberto Jimenez</t>
  </si>
  <si>
    <t>Juana Rodriguez</t>
  </si>
  <si>
    <t>Resaltar los valores mayores a $6.000</t>
  </si>
  <si>
    <t>PAIS</t>
  </si>
  <si>
    <t>ENERO</t>
  </si>
  <si>
    <t>FEBRERO</t>
  </si>
  <si>
    <t>MARZO</t>
  </si>
  <si>
    <t>ABRIL</t>
  </si>
  <si>
    <t>MAYO</t>
  </si>
  <si>
    <t>JUNIO</t>
  </si>
  <si>
    <t>TOTAL</t>
  </si>
  <si>
    <t xml:space="preserve">MAXIMO </t>
  </si>
  <si>
    <t xml:space="preserve">MINIMO </t>
  </si>
  <si>
    <t>PROMEDIO</t>
  </si>
  <si>
    <t>ESPAÑA</t>
  </si>
  <si>
    <t>ITALIA</t>
  </si>
  <si>
    <t>FRANCIA</t>
  </si>
  <si>
    <t>PORTUGAL</t>
  </si>
  <si>
    <t>SUIZA</t>
  </si>
  <si>
    <t>LOS VALORES EN EL RANGO B3:K7 DEBERAN TENER LOS SIGUIENTES COLORES:</t>
  </si>
  <si>
    <t>SI ESTAN POR DEBAJO DE 100, DEBERAN TENER COLOR AZUL</t>
  </si>
  <si>
    <t>SI ESTAN ENTRE 100 Y 170, TENDRAN COLOR NARANJA</t>
  </si>
  <si>
    <t>SI ESTAN POR ENCIMA DE 170, TENDRAN COLOR VERDE</t>
  </si>
  <si>
    <t>Producto</t>
  </si>
  <si>
    <t>Marca</t>
  </si>
  <si>
    <t>Categoría</t>
  </si>
  <si>
    <t>Local</t>
  </si>
  <si>
    <t>Vendedor</t>
  </si>
  <si>
    <t>Precio</t>
  </si>
  <si>
    <t>Cantidad</t>
  </si>
  <si>
    <t>Total</t>
  </si>
  <si>
    <t>LAVAVAJILLAS</t>
  </si>
  <si>
    <t>AUDIOLOGIC</t>
  </si>
  <si>
    <t>Línea Blanca</t>
  </si>
  <si>
    <t>Liniers</t>
  </si>
  <si>
    <t>Ggonzalez</t>
  </si>
  <si>
    <t>Tarjeta</t>
  </si>
  <si>
    <t>HELADERA CON FREEZER</t>
  </si>
  <si>
    <t>GAFA</t>
  </si>
  <si>
    <t>Abasto</t>
  </si>
  <si>
    <t>Avergara</t>
  </si>
  <si>
    <t>Efectivo</t>
  </si>
  <si>
    <t>PHILIPS</t>
  </si>
  <si>
    <t>Centro</t>
  </si>
  <si>
    <t>Srambaldo</t>
  </si>
  <si>
    <t>COCINA</t>
  </si>
  <si>
    <t>Caballito</t>
  </si>
  <si>
    <t>Mnarduzzi</t>
  </si>
  <si>
    <t>WHIRLPOOL</t>
  </si>
  <si>
    <t>Dsandoval</t>
  </si>
  <si>
    <t>LAVARROPAS</t>
  </si>
  <si>
    <t>Alto Palermo</t>
  </si>
  <si>
    <t>Ccarrizo</t>
  </si>
  <si>
    <t>DATSUN</t>
  </si>
  <si>
    <t>Lzeppa</t>
  </si>
  <si>
    <t>NOBLEX</t>
  </si>
  <si>
    <t>Unicenter</t>
  </si>
  <si>
    <t>Abrieva</t>
  </si>
  <si>
    <t>MICROONDAS</t>
  </si>
  <si>
    <t>Scorrales</t>
  </si>
  <si>
    <t>TV COLOR FLAT 21" + REPRODUCTOR DE DVD</t>
  </si>
  <si>
    <t>TV/Video/DVD</t>
  </si>
  <si>
    <t>Agomez</t>
  </si>
  <si>
    <t>Fcasco</t>
  </si>
  <si>
    <t>REPRODUCTOR Y GRABADORA DE DVD</t>
  </si>
  <si>
    <t>Mnoguera</t>
  </si>
  <si>
    <t>REPRODUCTOR DE DVD</t>
  </si>
  <si>
    <t>Esaralegui</t>
  </si>
  <si>
    <t>Mnatalini</t>
  </si>
  <si>
    <t>Dacosta</t>
  </si>
  <si>
    <t>PROCESADORA</t>
  </si>
  <si>
    <t>Electro</t>
  </si>
  <si>
    <t>Mloibiso</t>
  </si>
  <si>
    <t>DEPILADORA</t>
  </si>
  <si>
    <t>Depiladoras</t>
  </si>
  <si>
    <t>REPRODUCTOR MP3</t>
  </si>
  <si>
    <t>Audio</t>
  </si>
  <si>
    <t>PHILCO</t>
  </si>
  <si>
    <t>CAFETERA</t>
  </si>
  <si>
    <t>LICUADORA</t>
  </si>
  <si>
    <t xml:space="preserve">RADIOGRABADOR </t>
  </si>
  <si>
    <t>ARISTON</t>
  </si>
  <si>
    <t>SECARROPAS</t>
  </si>
  <si>
    <t>Jlopez</t>
  </si>
  <si>
    <t>HELADERA</t>
  </si>
  <si>
    <t>ELECTROLUX</t>
  </si>
  <si>
    <t>FREEZER</t>
  </si>
  <si>
    <t>DAIHATSU</t>
  </si>
  <si>
    <t>BATIDORA MANUAL</t>
  </si>
  <si>
    <t>RADIO RELOJ CR-001</t>
  </si>
  <si>
    <t>PATRICK</t>
  </si>
  <si>
    <t>AIRE ACONDICIONADO</t>
  </si>
  <si>
    <t>Aire Acondicionado</t>
  </si>
  <si>
    <t>TV COLOR FLAT 21"</t>
  </si>
  <si>
    <t>RADIOGRABADOR</t>
  </si>
  <si>
    <t>RADIO  DRK-30</t>
  </si>
  <si>
    <t>Philips</t>
  </si>
  <si>
    <t>TV COLOR 20"</t>
  </si>
  <si>
    <t>TV COLOR 14"</t>
  </si>
  <si>
    <t>Forma de Pago</t>
  </si>
  <si>
    <t>Fecha Venta</t>
  </si>
  <si>
    <t>Columna1</t>
  </si>
  <si>
    <t>Suma de Total</t>
  </si>
  <si>
    <t>Suma de Cantidad</t>
  </si>
  <si>
    <t>Etiquetas de fila</t>
  </si>
  <si>
    <t>Total general</t>
  </si>
  <si>
    <t>Promedio de Ticket</t>
  </si>
  <si>
    <t>TOTAL DE VENTAS</t>
  </si>
  <si>
    <t>TOTAL CANTIDADES</t>
  </si>
  <si>
    <t>TICKET PROMEDIO</t>
  </si>
  <si>
    <t>suma total</t>
  </si>
  <si>
    <t>Suma de Ticket Promedio</t>
  </si>
  <si>
    <t>Etiquetas de columna</t>
  </si>
  <si>
    <t>Suma de Promedio de venta por vendedor</t>
  </si>
  <si>
    <t>Total Cantidades</t>
  </si>
  <si>
    <t>Total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</si>
</sst>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5" formatCode="&quot;$&quot;\ #,##0;\-&quot;$&quot;\ #,##0"/>
    <numFmt numFmtId="44" formatCode="_-&quot;$&quot;\ * #,##0.00_-;\-&quot;$&quot;\ * #,##0.00_-;_-&quot;$&quot;\ * &quot;-&quot;??_-;_-@_-"/>
    <numFmt numFmtId="164" formatCode="_-[$$-2C0A]\ * #,##0.00_-;\-[$$-2C0A]\ * #,##0.00_-;_-[$$-2C0A]\ * &quot;-&quot;??_-;_-@"/>
    <numFmt numFmtId="165" formatCode="_-&quot;$&quot;\ * #,##0.00_-;\-&quot;$&quot;\ * #,##0.00_-;_-&quot;$&quot;\ * &quot;-&quot;??_-;_-@"/>
    <numFmt numFmtId="166" formatCode="dd\-mm\-yyyy"/>
    <numFmt numFmtId="167" formatCode="_ * #,##0_ ;_ * \-#,##0_ ;_ * &quot;-&quot;??_ ;_ @_ "/>
    <numFmt numFmtId="168" formatCode="_-&quot;$&quot;\ * #,##0_-;\-&quot;$&quot;\ * #,##0_-;_-&quot;$&quot;\ * &quot;-&quot;_-;_-@"/>
    <numFmt numFmtId="169" formatCode="&quot;$&quot;\ #,##0.0"/>
    <numFmt numFmtId="170" formatCode="&quot;$&quot;\ #,##0"/>
    <numFmt numFmtId="171" formatCode="0.0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b/>
      <sz val="12"/>
      <color rgb="FF000000"/>
      <name val="Calibri"/>
      <family val="2"/>
    </font>
    <font>
      <b/>
      <sz val="8"/>
      <color theme="1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48"/>
      <color rgb="FF92D050"/>
      <name val="Aharoni"/>
      <charset val="177"/>
    </font>
    <font>
      <sz val="18"/>
      <color theme="0" tint="-0.499984740745262"/>
      <name val="Aharoni"/>
      <charset val="177"/>
    </font>
    <font>
      <sz val="11"/>
      <color theme="1"/>
      <name val="Segoe UI"/>
      <family val="2"/>
    </font>
    <font>
      <sz val="14"/>
      <color theme="1"/>
      <name val="Segoe UI"/>
      <family val="2"/>
    </font>
    <font>
      <b/>
      <sz val="28"/>
      <color theme="2" tint="-0.499984740745262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ck">
        <color rgb="FF000000"/>
      </right>
      <top/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ck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medium">
        <color rgb="FF000000"/>
      </right>
      <top style="thin">
        <color rgb="FFC0C0C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C0C0C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Dashed">
        <color theme="5"/>
      </left>
      <right/>
      <top style="mediumDashed">
        <color theme="5"/>
      </top>
      <bottom/>
      <diagonal/>
    </border>
    <border>
      <left/>
      <right/>
      <top style="mediumDashed">
        <color theme="5"/>
      </top>
      <bottom/>
      <diagonal/>
    </border>
    <border>
      <left/>
      <right style="mediumDashed">
        <color theme="5"/>
      </right>
      <top style="mediumDashed">
        <color theme="5"/>
      </top>
      <bottom/>
      <diagonal/>
    </border>
    <border>
      <left style="mediumDashed">
        <color theme="5"/>
      </left>
      <right/>
      <top/>
      <bottom style="mediumDashed">
        <color theme="5"/>
      </bottom>
      <diagonal/>
    </border>
    <border>
      <left/>
      <right/>
      <top/>
      <bottom style="mediumDashed">
        <color theme="5"/>
      </bottom>
      <diagonal/>
    </border>
    <border>
      <left/>
      <right style="mediumDashed">
        <color theme="5"/>
      </right>
      <top/>
      <bottom style="mediumDashed">
        <color theme="5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64">
    <xf numFmtId="0" fontId="0" fillId="0" borderId="0" xfId="0"/>
    <xf numFmtId="0" fontId="1" fillId="2" borderId="4" xfId="0" applyFont="1" applyFill="1" applyBorder="1"/>
    <xf numFmtId="0" fontId="3" fillId="0" borderId="4" xfId="0" applyFont="1" applyBorder="1"/>
    <xf numFmtId="0" fontId="3" fillId="3" borderId="4" xfId="0" applyFont="1" applyFill="1" applyBorder="1"/>
    <xf numFmtId="0" fontId="3" fillId="4" borderId="4" xfId="0" applyFont="1" applyFill="1" applyBorder="1" applyAlignment="1">
      <alignment textRotation="45"/>
    </xf>
    <xf numFmtId="164" fontId="3" fillId="0" borderId="4" xfId="0" applyNumberFormat="1" applyFont="1" applyBorder="1"/>
    <xf numFmtId="0" fontId="4" fillId="0" borderId="0" xfId="0" applyFont="1" applyAlignment="1">
      <alignment vertical="center" textRotation="45"/>
    </xf>
    <xf numFmtId="0" fontId="4" fillId="0" borderId="0" xfId="0" applyFont="1" applyAlignment="1">
      <alignment horizontal="center" vertical="center" textRotation="45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165" fontId="8" fillId="5" borderId="5" xfId="0" applyNumberFormat="1" applyFont="1" applyFill="1" applyBorder="1" applyAlignment="1">
      <alignment horizontal="center" vertical="center"/>
    </xf>
    <xf numFmtId="165" fontId="8" fillId="5" borderId="6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0" fillId="0" borderId="8" xfId="0" applyFont="1" applyBorder="1"/>
    <xf numFmtId="165" fontId="10" fillId="0" borderId="8" xfId="0" applyNumberFormat="1" applyFont="1" applyBorder="1"/>
    <xf numFmtId="167" fontId="10" fillId="0" borderId="9" xfId="0" applyNumberFormat="1" applyFont="1" applyBorder="1"/>
    <xf numFmtId="168" fontId="10" fillId="0" borderId="10" xfId="0" applyNumberFormat="1" applyFont="1" applyBorder="1"/>
    <xf numFmtId="0" fontId="10" fillId="0" borderId="11" xfId="0" applyFont="1" applyBorder="1"/>
    <xf numFmtId="165" fontId="10" fillId="0" borderId="11" xfId="0" applyNumberFormat="1" applyFont="1" applyBorder="1"/>
    <xf numFmtId="167" fontId="10" fillId="0" borderId="11" xfId="0" applyNumberFormat="1" applyFont="1" applyBorder="1"/>
    <xf numFmtId="168" fontId="10" fillId="0" borderId="12" xfId="0" applyNumberFormat="1" applyFont="1" applyBorder="1"/>
    <xf numFmtId="0" fontId="3" fillId="0" borderId="0" xfId="0" applyFont="1"/>
    <xf numFmtId="0" fontId="10" fillId="0" borderId="13" xfId="0" applyFont="1" applyBorder="1"/>
    <xf numFmtId="165" fontId="10" fillId="0" borderId="13" xfId="0" applyNumberFormat="1" applyFont="1" applyBorder="1"/>
    <xf numFmtId="167" fontId="10" fillId="0" borderId="13" xfId="0" applyNumberFormat="1" applyFont="1" applyBorder="1"/>
    <xf numFmtId="168" fontId="10" fillId="0" borderId="14" xfId="0" applyNumberFormat="1" applyFont="1" applyBorder="1"/>
    <xf numFmtId="0" fontId="8" fillId="5" borderId="15" xfId="0" applyFont="1" applyFill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right" wrapText="1"/>
    </xf>
    <xf numFmtId="166" fontId="9" fillId="0" borderId="16" xfId="0" applyNumberFormat="1" applyFont="1" applyBorder="1" applyAlignment="1">
      <alignment horizontal="right" wrapText="1"/>
    </xf>
    <xf numFmtId="0" fontId="0" fillId="0" borderId="0" xfId="0" pivotButton="1"/>
    <xf numFmtId="168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5" fontId="0" fillId="0" borderId="0" xfId="0" applyNumberFormat="1"/>
    <xf numFmtId="0" fontId="12" fillId="6" borderId="17" xfId="0" applyFont="1" applyFill="1" applyBorder="1"/>
    <xf numFmtId="169" fontId="0" fillId="0" borderId="0" xfId="1" applyNumberFormat="1" applyFont="1"/>
    <xf numFmtId="170" fontId="0" fillId="0" borderId="0" xfId="0" applyNumberFormat="1"/>
    <xf numFmtId="0" fontId="14" fillId="7" borderId="0" xfId="0" applyFont="1" applyFill="1" applyAlignment="1">
      <alignment horizontal="center"/>
    </xf>
    <xf numFmtId="0" fontId="0" fillId="7" borderId="0" xfId="0" applyFill="1"/>
    <xf numFmtId="170" fontId="13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16" fillId="8" borderId="0" xfId="0" applyFont="1" applyFill="1"/>
    <xf numFmtId="0" fontId="15" fillId="8" borderId="0" xfId="0" applyFont="1" applyFill="1"/>
    <xf numFmtId="0" fontId="17" fillId="9" borderId="18" xfId="0" applyFont="1" applyFill="1" applyBorder="1" applyAlignment="1">
      <alignment horizontal="center"/>
    </xf>
    <xf numFmtId="0" fontId="17" fillId="9" borderId="19" xfId="0" applyFont="1" applyFill="1" applyBorder="1" applyAlignment="1">
      <alignment horizontal="center"/>
    </xf>
    <xf numFmtId="0" fontId="17" fillId="9" borderId="20" xfId="0" applyFont="1" applyFill="1" applyBorder="1" applyAlignment="1">
      <alignment horizontal="center"/>
    </xf>
    <xf numFmtId="0" fontId="17" fillId="9" borderId="21" xfId="0" applyFont="1" applyFill="1" applyBorder="1" applyAlignment="1">
      <alignment horizontal="center"/>
    </xf>
    <xf numFmtId="0" fontId="17" fillId="9" borderId="22" xfId="0" applyFont="1" applyFill="1" applyBorder="1" applyAlignment="1">
      <alignment horizontal="center"/>
    </xf>
    <xf numFmtId="0" fontId="17" fillId="9" borderId="23" xfId="0" applyFont="1" applyFill="1" applyBorder="1" applyAlignment="1">
      <alignment horizontal="center"/>
    </xf>
    <xf numFmtId="171" fontId="17" fillId="9" borderId="21" xfId="0" applyNumberFormat="1" applyFont="1" applyFill="1" applyBorder="1" applyAlignment="1">
      <alignment horizontal="center"/>
    </xf>
    <xf numFmtId="171" fontId="17" fillId="9" borderId="22" xfId="0" applyNumberFormat="1" applyFont="1" applyFill="1" applyBorder="1" applyAlignment="1">
      <alignment horizontal="center"/>
    </xf>
    <xf numFmtId="171" fontId="17" fillId="9" borderId="23" xfId="0" applyNumberFormat="1" applyFont="1" applyFill="1" applyBorder="1" applyAlignment="1">
      <alignment horizontal="center"/>
    </xf>
    <xf numFmtId="1" fontId="0" fillId="0" borderId="0" xfId="0" applyNumberFormat="1"/>
  </cellXfs>
  <cellStyles count="2">
    <cellStyle name="Moneda" xfId="1" builtinId="4"/>
    <cellStyle name="Normal" xfId="0" builtinId="0"/>
  </cellStyles>
  <dxfs count="21">
    <dxf>
      <numFmt numFmtId="1" formatCode="0"/>
    </dxf>
    <dxf>
      <numFmt numFmtId="171" formatCode="0.0"/>
    </dxf>
    <dxf>
      <numFmt numFmtId="170" formatCode="&quot;$&quot;\ #,##0"/>
    </dxf>
    <dxf>
      <numFmt numFmtId="170" formatCode="&quot;$&quot;\ #,##0"/>
    </dxf>
    <dxf>
      <numFmt numFmtId="170" formatCode="&quot;$&quot;\ #,##0"/>
    </dxf>
    <dxf>
      <numFmt numFmtId="170" formatCode="&quot;$&quot;\ #,##0"/>
    </dxf>
    <dxf>
      <numFmt numFmtId="170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8" formatCode="_-&quot;$&quot;\ * #,##0_-;\-&quot;$&quot;\ * #,##0_-;_-&quot;$&quot;\ * &quot;-&quot;_-;_-@"/>
      <border diagonalUp="0" diagonalDown="0">
        <left style="medium">
          <color rgb="FF000000"/>
        </left>
        <right style="thick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7" formatCode="_ * #,##0_ ;_ * \-#,##0_ ;_ * &quot;-&quot;??_ ;_ @_ "/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5" formatCode="_-&quot;$&quot;\ * #,##0.00_-;\-&quot;$&quot;\ * #,##0.00_-;_-&quot;$&quot;\ * &quot;-&quot;??_-;_-@"/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>
        <left style="medium">
          <color rgb="FF000000"/>
        </left>
        <right style="medium">
          <color rgb="FF00000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166" formatCode="dd\-mm\-yyyy"/>
      <alignment horizontal="right" vertical="bottom" textRotation="0" wrapText="1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border outline="0">
        <left style="thick">
          <color rgb="FF000000"/>
        </left>
      </border>
    </dxf>
    <dxf>
      <numFmt numFmtId="170" formatCode="&quot;$&quot;\ #,##0"/>
    </dxf>
    <dxf>
      <font>
        <sz val="8"/>
        <name val="Segoe UI"/>
        <family val="2"/>
        <scheme val="none"/>
      </font>
    </dxf>
    <dxf>
      <fill>
        <patternFill>
          <bgColor theme="0" tint="-0.14996795556505021"/>
        </patternFill>
      </fill>
    </dxf>
  </dxfs>
  <tableStyles count="4" defaultTableStyle="TableStyleMedium2" defaultPivotStyle="PivotStyleLight16">
    <tableStyle name="Estilo de segmentación de datos 1" pivot="0" table="0" count="1" xr9:uid="{3AB33597-C2FA-4510-A489-22F693EA0070}">
      <tableStyleElement type="headerRow" dxfId="20"/>
    </tableStyle>
    <tableStyle name="Estilo de segmentación de datos 2" pivot="0" table="0" count="0" xr9:uid="{B465DBDC-85FB-4955-A2A1-777DF6B8B1C1}"/>
    <tableStyle name="Estilo de segmentación de datos 3" pivot="0" table="0" count="0" xr9:uid="{5828A56B-75AA-4A5F-9D17-3FD0CDA13065}"/>
    <tableStyle name="Estilo de segmentación de datos 4" pivot="0" table="0" count="1" xr9:uid="{5D032F61-B25C-497F-82F5-5281ACCEE18A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 de ventas comerciales.xlsx]Tablas dinámicas comercial!TablaDinámica1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s-MX"/>
              <a:t>Ventas totales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6179894179894179"/>
          <c:y val="0.10725409323834523"/>
          <c:w val="0.4463997000374953"/>
          <c:h val="0.8457617797775277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'Tablas dinámicas comercial'!$B$3</c:f>
              <c:strCache>
                <c:ptCount val="1"/>
                <c:pt idx="0">
                  <c:v>Suma de 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'Tablas dinámicas comercial'!$A$4:$A$29</c:f>
              <c:strCache>
                <c:ptCount val="25"/>
                <c:pt idx="0">
                  <c:v>RADIO  DRK-30</c:v>
                </c:pt>
                <c:pt idx="1">
                  <c:v>RADIOGRABADOR</c:v>
                </c:pt>
                <c:pt idx="2">
                  <c:v>TV COLOR FLAT 21"</c:v>
                </c:pt>
                <c:pt idx="3">
                  <c:v>RADIO RELOJ CR-001</c:v>
                </c:pt>
                <c:pt idx="4">
                  <c:v>RADIOGRABADOR </c:v>
                </c:pt>
                <c:pt idx="5">
                  <c:v>BATIDORA MANUAL</c:v>
                </c:pt>
                <c:pt idx="6">
                  <c:v>TV COLOR 14"</c:v>
                </c:pt>
                <c:pt idx="7">
                  <c:v>CAFETERA</c:v>
                </c:pt>
                <c:pt idx="8">
                  <c:v>DEPILADORA</c:v>
                </c:pt>
                <c:pt idx="9">
                  <c:v>TV COLOR 20"</c:v>
                </c:pt>
                <c:pt idx="10">
                  <c:v>PROCESADORA</c:v>
                </c:pt>
                <c:pt idx="11">
                  <c:v>LICUADORA</c:v>
                </c:pt>
                <c:pt idx="12">
                  <c:v>REPRODUCTOR MP3</c:v>
                </c:pt>
                <c:pt idx="13">
                  <c:v>AIRE ACONDICIONADO</c:v>
                </c:pt>
                <c:pt idx="14">
                  <c:v>SECARROPAS</c:v>
                </c:pt>
                <c:pt idx="15">
                  <c:v>FREEZER</c:v>
                </c:pt>
                <c:pt idx="16">
                  <c:v>REPRODUCTOR DE DVD</c:v>
                </c:pt>
                <c:pt idx="17">
                  <c:v>MICROONDAS</c:v>
                </c:pt>
                <c:pt idx="18">
                  <c:v>HELADERA</c:v>
                </c:pt>
                <c:pt idx="19">
                  <c:v>REPRODUCTOR Y GRABADORA DE DVD</c:v>
                </c:pt>
                <c:pt idx="20">
                  <c:v>LAVARROPAS</c:v>
                </c:pt>
                <c:pt idx="21">
                  <c:v>TV COLOR FLAT 21" + REPRODUCTOR DE DVD</c:v>
                </c:pt>
                <c:pt idx="22">
                  <c:v>LAVAVAJILLAS</c:v>
                </c:pt>
                <c:pt idx="23">
                  <c:v>COCINA</c:v>
                </c:pt>
                <c:pt idx="24">
                  <c:v>HELADERA CON FREEZER</c:v>
                </c:pt>
              </c:strCache>
            </c:strRef>
          </c:cat>
          <c:val>
            <c:numRef>
              <c:f>'Tablas dinámicas comercial'!$B$4:$B$29</c:f>
              <c:numCache>
                <c:formatCode>"$"#,##0_);\("$"#,##0\)</c:formatCode>
                <c:ptCount val="25"/>
                <c:pt idx="0">
                  <c:v>290</c:v>
                </c:pt>
                <c:pt idx="1">
                  <c:v>356</c:v>
                </c:pt>
                <c:pt idx="2">
                  <c:v>4245</c:v>
                </c:pt>
                <c:pt idx="3">
                  <c:v>6591</c:v>
                </c:pt>
                <c:pt idx="4">
                  <c:v>10680</c:v>
                </c:pt>
                <c:pt idx="5">
                  <c:v>12555</c:v>
                </c:pt>
                <c:pt idx="6">
                  <c:v>17970</c:v>
                </c:pt>
                <c:pt idx="7">
                  <c:v>19206</c:v>
                </c:pt>
                <c:pt idx="8">
                  <c:v>28290</c:v>
                </c:pt>
                <c:pt idx="9">
                  <c:v>30825</c:v>
                </c:pt>
                <c:pt idx="10">
                  <c:v>36660</c:v>
                </c:pt>
                <c:pt idx="11">
                  <c:v>55086</c:v>
                </c:pt>
                <c:pt idx="12">
                  <c:v>83066</c:v>
                </c:pt>
                <c:pt idx="13">
                  <c:v>119567</c:v>
                </c:pt>
                <c:pt idx="14">
                  <c:v>282007</c:v>
                </c:pt>
                <c:pt idx="15">
                  <c:v>307872</c:v>
                </c:pt>
                <c:pt idx="16">
                  <c:v>323925</c:v>
                </c:pt>
                <c:pt idx="17">
                  <c:v>329658</c:v>
                </c:pt>
                <c:pt idx="18">
                  <c:v>372478</c:v>
                </c:pt>
                <c:pt idx="19">
                  <c:v>372627</c:v>
                </c:pt>
                <c:pt idx="20">
                  <c:v>510935</c:v>
                </c:pt>
                <c:pt idx="21">
                  <c:v>521011</c:v>
                </c:pt>
                <c:pt idx="22">
                  <c:v>951051</c:v>
                </c:pt>
                <c:pt idx="23">
                  <c:v>1009459</c:v>
                </c:pt>
                <c:pt idx="24">
                  <c:v>1054861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D-431F-8CC7-8B3E53560F93}"/>
            </c:ext>
          </c:extLst>
        </c:ser>
        <c:ser>
          <c:idx val="1"/>
          <c:order val="1"/>
          <c:tx>
            <c:strRef>
              <c:f>'Tablas dinámicas comercial'!$C$3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'Tablas dinámicas comercial'!$A$4:$A$29</c:f>
              <c:strCache>
                <c:ptCount val="25"/>
                <c:pt idx="0">
                  <c:v>RADIO  DRK-30</c:v>
                </c:pt>
                <c:pt idx="1">
                  <c:v>RADIOGRABADOR</c:v>
                </c:pt>
                <c:pt idx="2">
                  <c:v>TV COLOR FLAT 21"</c:v>
                </c:pt>
                <c:pt idx="3">
                  <c:v>RADIO RELOJ CR-001</c:v>
                </c:pt>
                <c:pt idx="4">
                  <c:v>RADIOGRABADOR </c:v>
                </c:pt>
                <c:pt idx="5">
                  <c:v>BATIDORA MANUAL</c:v>
                </c:pt>
                <c:pt idx="6">
                  <c:v>TV COLOR 14"</c:v>
                </c:pt>
                <c:pt idx="7">
                  <c:v>CAFETERA</c:v>
                </c:pt>
                <c:pt idx="8">
                  <c:v>DEPILADORA</c:v>
                </c:pt>
                <c:pt idx="9">
                  <c:v>TV COLOR 20"</c:v>
                </c:pt>
                <c:pt idx="10">
                  <c:v>PROCESADORA</c:v>
                </c:pt>
                <c:pt idx="11">
                  <c:v>LICUADORA</c:v>
                </c:pt>
                <c:pt idx="12">
                  <c:v>REPRODUCTOR MP3</c:v>
                </c:pt>
                <c:pt idx="13">
                  <c:v>AIRE ACONDICIONADO</c:v>
                </c:pt>
                <c:pt idx="14">
                  <c:v>SECARROPAS</c:v>
                </c:pt>
                <c:pt idx="15">
                  <c:v>FREEZER</c:v>
                </c:pt>
                <c:pt idx="16">
                  <c:v>REPRODUCTOR DE DVD</c:v>
                </c:pt>
                <c:pt idx="17">
                  <c:v>MICROONDAS</c:v>
                </c:pt>
                <c:pt idx="18">
                  <c:v>HELADERA</c:v>
                </c:pt>
                <c:pt idx="19">
                  <c:v>REPRODUCTOR Y GRABADORA DE DVD</c:v>
                </c:pt>
                <c:pt idx="20">
                  <c:v>LAVARROPAS</c:v>
                </c:pt>
                <c:pt idx="21">
                  <c:v>TV COLOR FLAT 21" + REPRODUCTOR DE DVD</c:v>
                </c:pt>
                <c:pt idx="22">
                  <c:v>LAVAVAJILLAS</c:v>
                </c:pt>
                <c:pt idx="23">
                  <c:v>COCINA</c:v>
                </c:pt>
                <c:pt idx="24">
                  <c:v>HELADERA CON FREEZER</c:v>
                </c:pt>
              </c:strCache>
            </c:strRef>
          </c:cat>
          <c:val>
            <c:numRef>
              <c:f>'Tablas dinámicas comercial'!$C$4:$C$29</c:f>
              <c:numCache>
                <c:formatCode>_ * #,##0_ ;_ * \-#,##0_ ;_ * "-"??_ ;_ @_ 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169</c:v>
                </c:pt>
                <c:pt idx="4">
                  <c:v>120</c:v>
                </c:pt>
                <c:pt idx="5">
                  <c:v>81</c:v>
                </c:pt>
                <c:pt idx="6">
                  <c:v>30</c:v>
                </c:pt>
                <c:pt idx="7">
                  <c:v>194</c:v>
                </c:pt>
                <c:pt idx="8">
                  <c:v>210</c:v>
                </c:pt>
                <c:pt idx="9">
                  <c:v>45</c:v>
                </c:pt>
                <c:pt idx="10">
                  <c:v>188</c:v>
                </c:pt>
                <c:pt idx="11">
                  <c:v>634</c:v>
                </c:pt>
                <c:pt idx="12">
                  <c:v>614</c:v>
                </c:pt>
                <c:pt idx="13">
                  <c:v>133</c:v>
                </c:pt>
                <c:pt idx="14">
                  <c:v>373</c:v>
                </c:pt>
                <c:pt idx="15">
                  <c:v>328</c:v>
                </c:pt>
                <c:pt idx="16">
                  <c:v>1215</c:v>
                </c:pt>
                <c:pt idx="17">
                  <c:v>282</c:v>
                </c:pt>
                <c:pt idx="18">
                  <c:v>382</c:v>
                </c:pt>
                <c:pt idx="19">
                  <c:v>373</c:v>
                </c:pt>
                <c:pt idx="20">
                  <c:v>435</c:v>
                </c:pt>
                <c:pt idx="21">
                  <c:v>514</c:v>
                </c:pt>
                <c:pt idx="22">
                  <c:v>449</c:v>
                </c:pt>
                <c:pt idx="23">
                  <c:v>841</c:v>
                </c:pt>
                <c:pt idx="24">
                  <c:v>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D-431F-8CC7-8B3E5356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06069296"/>
        <c:axId val="606062456"/>
        <c:axId val="0"/>
      </c:bar3DChart>
      <c:catAx>
        <c:axId val="60606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06062456"/>
        <c:crosses val="autoZero"/>
        <c:auto val="1"/>
        <c:lblAlgn val="ctr"/>
        <c:lblOffset val="100"/>
        <c:noMultiLvlLbl val="0"/>
      </c:catAx>
      <c:valAx>
        <c:axId val="60606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0606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haroni" panose="02010803020104030203" pitchFamily="2" charset="-79"/>
          <a:cs typeface="Aharoni" panose="02010803020104030203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 de ventas comerciales.xlsx]Tablas dinámicas comercial!TablaDinámica2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n-US"/>
              <a:t>Ventas por Local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40548627919565"/>
          <c:y val="0.15052074391489487"/>
          <c:w val="0.80082641420795153"/>
          <c:h val="0.6693960756014961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'Tablas dinámicas comercial'!$B$34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'Tablas dinámicas comercial'!$A$35:$A$41</c:f>
              <c:strCache>
                <c:ptCount val="6"/>
                <c:pt idx="0">
                  <c:v>Caballito</c:v>
                </c:pt>
                <c:pt idx="1">
                  <c:v>Liniers</c:v>
                </c:pt>
                <c:pt idx="2">
                  <c:v>Alto Palermo</c:v>
                </c:pt>
                <c:pt idx="3">
                  <c:v>Abasto</c:v>
                </c:pt>
                <c:pt idx="4">
                  <c:v>Centro</c:v>
                </c:pt>
                <c:pt idx="5">
                  <c:v>Unicenter</c:v>
                </c:pt>
              </c:strCache>
            </c:strRef>
          </c:cat>
          <c:val>
            <c:numRef>
              <c:f>'Tablas dinámicas comercial'!$B$35:$B$41</c:f>
              <c:numCache>
                <c:formatCode>"$"#,##0_);\("$"#,##0\)</c:formatCode>
                <c:ptCount val="6"/>
                <c:pt idx="0">
                  <c:v>1244140</c:v>
                </c:pt>
                <c:pt idx="1">
                  <c:v>1176028</c:v>
                </c:pt>
                <c:pt idx="2">
                  <c:v>1045443</c:v>
                </c:pt>
                <c:pt idx="3">
                  <c:v>1039774</c:v>
                </c:pt>
                <c:pt idx="4">
                  <c:v>1013346</c:v>
                </c:pt>
                <c:pt idx="5">
                  <c:v>942540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475-9B15-F737E9630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63485216"/>
        <c:axId val="663474776"/>
        <c:axId val="0"/>
      </c:bar3DChart>
      <c:catAx>
        <c:axId val="6634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63474776"/>
        <c:crosses val="autoZero"/>
        <c:auto val="1"/>
        <c:lblAlgn val="ctr"/>
        <c:lblOffset val="100"/>
        <c:noMultiLvlLbl val="0"/>
      </c:catAx>
      <c:valAx>
        <c:axId val="66347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634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haroni" panose="02010803020104030203" pitchFamily="2" charset="-79"/>
          <a:cs typeface="Aharoni" panose="02010803020104030203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 de ventas comerciales.xlsx]Tablas dinámicas comercial!TablaDinámica3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n-US"/>
              <a:t>Distribución de forma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dinámicas comercial'!$E$34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165-4E32-B5C9-E698CEBA6AF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165-4E32-B5C9-E698CEBA6AF4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 comercial'!$D$35:$D$37</c:f>
              <c:strCache>
                <c:ptCount val="2"/>
                <c:pt idx="0">
                  <c:v>Efectivo</c:v>
                </c:pt>
                <c:pt idx="1">
                  <c:v>Tarjeta</c:v>
                </c:pt>
              </c:strCache>
            </c:strRef>
          </c:cat>
          <c:val>
            <c:numRef>
              <c:f>'Tablas dinámicas comercial'!$E$35:$E$37</c:f>
              <c:numCache>
                <c:formatCode>"$"#,##0_);\("$"#,##0\)</c:formatCode>
                <c:ptCount val="2"/>
                <c:pt idx="0">
                  <c:v>3706843</c:v>
                </c:pt>
                <c:pt idx="1">
                  <c:v>2754428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5-4E32-B5C9-E698CEBA6A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haroni" panose="02010803020104030203" pitchFamily="2" charset="-79"/>
          <a:cs typeface="Aharoni" panose="02010803020104030203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 de ventas comerciales.xlsx]Tablas dinámicas comercial!TablaDinámica4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n-US"/>
              <a:t>Ventas por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dinámicas comercial'!$B$45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'Tablas dinámicas comercial'!$A$46:$A$57</c:f>
              <c:strCache>
                <c:ptCount val="11"/>
                <c:pt idx="0">
                  <c:v>PHILIPS</c:v>
                </c:pt>
                <c:pt idx="1">
                  <c:v>WHIRLPOOL</c:v>
                </c:pt>
                <c:pt idx="2">
                  <c:v>GAFA</c:v>
                </c:pt>
                <c:pt idx="3">
                  <c:v>AUDIOLOGIC</c:v>
                </c:pt>
                <c:pt idx="4">
                  <c:v>DATSUN</c:v>
                </c:pt>
                <c:pt idx="5">
                  <c:v>ARISTON</c:v>
                </c:pt>
                <c:pt idx="6">
                  <c:v>NOBLEX</c:v>
                </c:pt>
                <c:pt idx="7">
                  <c:v>PATRICK</c:v>
                </c:pt>
                <c:pt idx="8">
                  <c:v>PHILCO</c:v>
                </c:pt>
                <c:pt idx="9">
                  <c:v>ELECTROLUX</c:v>
                </c:pt>
                <c:pt idx="10">
                  <c:v>DAIHATSU</c:v>
                </c:pt>
              </c:strCache>
            </c:strRef>
          </c:cat>
          <c:val>
            <c:numRef>
              <c:f>'Tablas dinámicas comercial'!$B$46:$B$57</c:f>
              <c:numCache>
                <c:formatCode>"$"#,##0_);\("$"#,##0\)</c:formatCode>
                <c:ptCount val="11"/>
                <c:pt idx="0">
                  <c:v>1851827</c:v>
                </c:pt>
                <c:pt idx="1">
                  <c:v>1186789</c:v>
                </c:pt>
                <c:pt idx="2">
                  <c:v>982174</c:v>
                </c:pt>
                <c:pt idx="3">
                  <c:v>702210</c:v>
                </c:pt>
                <c:pt idx="4">
                  <c:v>557267</c:v>
                </c:pt>
                <c:pt idx="5">
                  <c:v>553561</c:v>
                </c:pt>
                <c:pt idx="6">
                  <c:v>330935</c:v>
                </c:pt>
                <c:pt idx="7">
                  <c:v>122897</c:v>
                </c:pt>
                <c:pt idx="8">
                  <c:v>75689</c:v>
                </c:pt>
                <c:pt idx="9">
                  <c:v>63962</c:v>
                </c:pt>
                <c:pt idx="10">
                  <c:v>33960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2-483E-B946-5197E732F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58309744"/>
        <c:axId val="448688920"/>
        <c:axId val="0"/>
      </c:bar3DChart>
      <c:catAx>
        <c:axId val="45830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448688920"/>
        <c:crosses val="autoZero"/>
        <c:auto val="1"/>
        <c:lblAlgn val="ctr"/>
        <c:lblOffset val="100"/>
        <c:noMultiLvlLbl val="0"/>
      </c:catAx>
      <c:valAx>
        <c:axId val="44868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45830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haroni" panose="02010803020104030203" pitchFamily="2" charset="-79"/>
          <a:cs typeface="Aharoni" panose="02010803020104030203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[Análisis de ventas comerciales.xlsx]Tablas dinámicas comercial!TablaDinámica5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n-US"/>
              <a:t>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dinámicas comercial'!$E$45:$E$46</c:f>
              <c:strCache>
                <c:ptCount val="1"/>
                <c:pt idx="0">
                  <c:v>Línea Blanca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comercial'!$E$47</c:f>
              <c:numCache>
                <c:formatCode>"$"#,##0_);\("$"#,##0\)</c:formatCode>
                <c:ptCount val="1"/>
                <c:pt idx="0">
                  <c:v>4818321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A-41CE-830E-4FCB0714BA5F}"/>
            </c:ext>
          </c:extLst>
        </c:ser>
        <c:ser>
          <c:idx val="1"/>
          <c:order val="1"/>
          <c:tx>
            <c:strRef>
              <c:f>'Tablas dinámicas comercial'!$F$45:$F$46</c:f>
              <c:strCache>
                <c:ptCount val="1"/>
                <c:pt idx="0">
                  <c:v>TV/Video/DVD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comercial'!$F$47</c:f>
              <c:numCache>
                <c:formatCode>"$"#,##0_);\("$"#,##0\)</c:formatCode>
                <c:ptCount val="1"/>
                <c:pt idx="0">
                  <c:v>1270603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0-4119-BB0B-2DD63B6957EA}"/>
            </c:ext>
          </c:extLst>
        </c:ser>
        <c:ser>
          <c:idx val="2"/>
          <c:order val="2"/>
          <c:tx>
            <c:strRef>
              <c:f>'Tablas dinámicas comercial'!$G$45:$G$46</c:f>
              <c:strCache>
                <c:ptCount val="1"/>
                <c:pt idx="0">
                  <c:v>Electro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comercial'!$G$47</c:f>
              <c:numCache>
                <c:formatCode>"$"#,##0_);\("$"#,##0\)</c:formatCode>
                <c:ptCount val="1"/>
                <c:pt idx="0">
                  <c:v>123507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40-4119-BB0B-2DD63B6957EA}"/>
            </c:ext>
          </c:extLst>
        </c:ser>
        <c:ser>
          <c:idx val="3"/>
          <c:order val="3"/>
          <c:tx>
            <c:strRef>
              <c:f>'Tablas dinámicas comercial'!$H$45:$H$46</c:f>
              <c:strCache>
                <c:ptCount val="1"/>
                <c:pt idx="0">
                  <c:v>Aire Acondicionado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accent6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comercial'!$H$47</c:f>
              <c:numCache>
                <c:formatCode>"$"#,##0_);\("$"#,##0\)</c:formatCode>
                <c:ptCount val="1"/>
                <c:pt idx="0">
                  <c:v>119567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40-4119-BB0B-2DD63B6957EA}"/>
            </c:ext>
          </c:extLst>
        </c:ser>
        <c:ser>
          <c:idx val="4"/>
          <c:order val="4"/>
          <c:tx>
            <c:strRef>
              <c:f>'Tablas dinámicas comercial'!$I$45:$I$46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accent5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comercial'!$I$47</c:f>
              <c:numCache>
                <c:formatCode>"$"#,##0_);\("$"#,##0\)</c:formatCode>
                <c:ptCount val="1"/>
                <c:pt idx="0">
                  <c:v>100983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40-4119-BB0B-2DD63B6957EA}"/>
            </c:ext>
          </c:extLst>
        </c:ser>
        <c:ser>
          <c:idx val="5"/>
          <c:order val="5"/>
          <c:tx>
            <c:strRef>
              <c:f>'Tablas dinámicas comercial'!$J$45:$J$46</c:f>
              <c:strCache>
                <c:ptCount val="1"/>
                <c:pt idx="0">
                  <c:v>Depiladoras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accent4">
                  <a:lumMod val="60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Mod val="75000"/>
                </a:schemeClr>
              </a:contourClr>
            </a:sp3d>
          </c:spPr>
          <c:invertIfNegative val="0"/>
          <c:cat>
            <c:strRef>
              <c:f>'Tablas dinámicas comercial'!$D$47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 comercial'!$J$47</c:f>
              <c:numCache>
                <c:formatCode>"$"#,##0_);\("$"#,##0\)</c:formatCode>
                <c:ptCount val="1"/>
                <c:pt idx="0">
                  <c:v>28290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40-4119-BB0B-2DD63B69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09752944"/>
        <c:axId val="609753304"/>
        <c:axId val="0"/>
      </c:bar3DChart>
      <c:catAx>
        <c:axId val="60975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09753304"/>
        <c:crosses val="autoZero"/>
        <c:auto val="1"/>
        <c:lblAlgn val="ctr"/>
        <c:lblOffset val="100"/>
        <c:noMultiLvlLbl val="0"/>
      </c:catAx>
      <c:valAx>
        <c:axId val="60975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6097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Aharoni" panose="02010803020104030203" pitchFamily="2" charset="-79"/>
          <a:cs typeface="Aharoni" panose="02010803020104030203" pitchFamily="2" charset="-79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[Análisis de ventas comerciales.xlsx]Tablas dinámicas vendedores!TablaDinámica16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MX" cap="all" baseline="0"/>
              <a:t>Total de ventas en $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'Tablas dinámicas vendedores'!$C$23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'Tablas dinámicas vendedores'!$B$24:$B$41</c:f>
              <c:strCache>
                <c:ptCount val="17"/>
                <c:pt idx="0">
                  <c:v>Mnarduzzi</c:v>
                </c:pt>
                <c:pt idx="1">
                  <c:v>Ggonzalez</c:v>
                </c:pt>
                <c:pt idx="2">
                  <c:v>Lzeppa</c:v>
                </c:pt>
                <c:pt idx="3">
                  <c:v>Scorrales</c:v>
                </c:pt>
                <c:pt idx="4">
                  <c:v>Mnatalini</c:v>
                </c:pt>
                <c:pt idx="5">
                  <c:v>Dacosta</c:v>
                </c:pt>
                <c:pt idx="6">
                  <c:v>Fcasco</c:v>
                </c:pt>
                <c:pt idx="7">
                  <c:v>Abrieva</c:v>
                </c:pt>
                <c:pt idx="8">
                  <c:v>Ccarrizo</c:v>
                </c:pt>
                <c:pt idx="9">
                  <c:v>Agomez</c:v>
                </c:pt>
                <c:pt idx="10">
                  <c:v>Dsandoval</c:v>
                </c:pt>
                <c:pt idx="11">
                  <c:v>Srambaldo</c:v>
                </c:pt>
                <c:pt idx="12">
                  <c:v>Jlopez</c:v>
                </c:pt>
                <c:pt idx="13">
                  <c:v>Avergara</c:v>
                </c:pt>
                <c:pt idx="14">
                  <c:v>Mnoguera</c:v>
                </c:pt>
                <c:pt idx="15">
                  <c:v>Mloibiso</c:v>
                </c:pt>
                <c:pt idx="16">
                  <c:v>Esaralegui</c:v>
                </c:pt>
              </c:strCache>
            </c:strRef>
          </c:cat>
          <c:val>
            <c:numRef>
              <c:f>'Tablas dinámicas vendedores'!$C$24:$C$41</c:f>
              <c:numCache>
                <c:formatCode>"$"\ #,##0</c:formatCode>
                <c:ptCount val="17"/>
                <c:pt idx="0">
                  <c:v>829295</c:v>
                </c:pt>
                <c:pt idx="1">
                  <c:v>527633</c:v>
                </c:pt>
                <c:pt idx="2">
                  <c:v>503623</c:v>
                </c:pt>
                <c:pt idx="3">
                  <c:v>459363</c:v>
                </c:pt>
                <c:pt idx="4">
                  <c:v>443843</c:v>
                </c:pt>
                <c:pt idx="5">
                  <c:v>419230</c:v>
                </c:pt>
                <c:pt idx="6">
                  <c:v>414845</c:v>
                </c:pt>
                <c:pt idx="7">
                  <c:v>382443</c:v>
                </c:pt>
                <c:pt idx="8">
                  <c:v>376316</c:v>
                </c:pt>
                <c:pt idx="9">
                  <c:v>356018</c:v>
                </c:pt>
                <c:pt idx="10">
                  <c:v>341962</c:v>
                </c:pt>
                <c:pt idx="11">
                  <c:v>337049</c:v>
                </c:pt>
                <c:pt idx="12">
                  <c:v>320279</c:v>
                </c:pt>
                <c:pt idx="13">
                  <c:v>253969</c:v>
                </c:pt>
                <c:pt idx="14">
                  <c:v>229165</c:v>
                </c:pt>
                <c:pt idx="15">
                  <c:v>165504</c:v>
                </c:pt>
                <c:pt idx="16">
                  <c:v>100734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0-4C55-9D24-48CA6CB4F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314376"/>
        <c:axId val="590177192"/>
        <c:axId val="0"/>
      </c:bar3DChart>
      <c:catAx>
        <c:axId val="11331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590177192"/>
        <c:crosses val="autoZero"/>
        <c:auto val="1"/>
        <c:lblAlgn val="ctr"/>
        <c:lblOffset val="100"/>
        <c:noMultiLvlLbl val="0"/>
      </c:catAx>
      <c:valAx>
        <c:axId val="59017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11331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b="1">
          <a:solidFill>
            <a:schemeClr val="bg2">
              <a:lumMod val="50000"/>
            </a:schemeClr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[Análisis de ventas comerciales.xlsx]Tablas dinámicas vendedores!TablaDinámica2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MX" sz="1600"/>
              <a:t>Ticket Promedio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all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all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all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'Tablas dinámicas vendedores'!$F$23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dinámicas vendedores'!$E$24:$E$41</c:f>
              <c:strCache>
                <c:ptCount val="17"/>
                <c:pt idx="0">
                  <c:v>Abrieva</c:v>
                </c:pt>
                <c:pt idx="1">
                  <c:v>Agomez</c:v>
                </c:pt>
                <c:pt idx="2">
                  <c:v>Avergara</c:v>
                </c:pt>
                <c:pt idx="3">
                  <c:v>Ccarrizo</c:v>
                </c:pt>
                <c:pt idx="4">
                  <c:v>Dacosta</c:v>
                </c:pt>
                <c:pt idx="5">
                  <c:v>Dsandoval</c:v>
                </c:pt>
                <c:pt idx="6">
                  <c:v>Esaralegui</c:v>
                </c:pt>
                <c:pt idx="7">
                  <c:v>Fcasco</c:v>
                </c:pt>
                <c:pt idx="8">
                  <c:v>Ggonzalez</c:v>
                </c:pt>
                <c:pt idx="9">
                  <c:v>Jlopez</c:v>
                </c:pt>
                <c:pt idx="10">
                  <c:v>Lzeppa</c:v>
                </c:pt>
                <c:pt idx="11">
                  <c:v>Mloibiso</c:v>
                </c:pt>
                <c:pt idx="12">
                  <c:v>Mnarduzzi</c:v>
                </c:pt>
                <c:pt idx="13">
                  <c:v>Mnatalini</c:v>
                </c:pt>
                <c:pt idx="14">
                  <c:v>Mnoguera</c:v>
                </c:pt>
                <c:pt idx="15">
                  <c:v>Scorrales</c:v>
                </c:pt>
                <c:pt idx="16">
                  <c:v>Srambaldo</c:v>
                </c:pt>
              </c:strCache>
            </c:strRef>
          </c:cat>
          <c:val>
            <c:numRef>
              <c:f>'Tablas dinámicas vendedores'!$F$24:$F$41</c:f>
              <c:numCache>
                <c:formatCode>0</c:formatCode>
                <c:ptCount val="17"/>
                <c:pt idx="0">
                  <c:v>746.958984375</c:v>
                </c:pt>
                <c:pt idx="1">
                  <c:v>983.47513812154693</c:v>
                </c:pt>
                <c:pt idx="2">
                  <c:v>973.06130268199229</c:v>
                </c:pt>
                <c:pt idx="3">
                  <c:v>867.08755760368661</c:v>
                </c:pt>
                <c:pt idx="4">
                  <c:v>640.04580152671758</c:v>
                </c:pt>
                <c:pt idx="5">
                  <c:v>726.03397027600852</c:v>
                </c:pt>
                <c:pt idx="6">
                  <c:v>667.11258278145692</c:v>
                </c:pt>
                <c:pt idx="7">
                  <c:v>873.35789473684213</c:v>
                </c:pt>
                <c:pt idx="8">
                  <c:v>920.82547993019193</c:v>
                </c:pt>
                <c:pt idx="9">
                  <c:v>743.10672853828305</c:v>
                </c:pt>
                <c:pt idx="10">
                  <c:v>929.19372693726939</c:v>
                </c:pt>
                <c:pt idx="11">
                  <c:v>433.25654450261783</c:v>
                </c:pt>
                <c:pt idx="12">
                  <c:v>743.76233183856505</c:v>
                </c:pt>
                <c:pt idx="13">
                  <c:v>707.88357256778306</c:v>
                </c:pt>
                <c:pt idx="14">
                  <c:v>672.03812316715539</c:v>
                </c:pt>
                <c:pt idx="15">
                  <c:v>659.05738880918216</c:v>
                </c:pt>
                <c:pt idx="16">
                  <c:v>913.41192411924123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8-4B9F-8561-41F3FB38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4742664"/>
        <c:axId val="366680672"/>
        <c:axId val="0"/>
      </c:bar3DChart>
      <c:catAx>
        <c:axId val="45474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366680672"/>
        <c:crosses val="autoZero"/>
        <c:auto val="1"/>
        <c:lblAlgn val="ctr"/>
        <c:lblOffset val="100"/>
        <c:noMultiLvlLbl val="0"/>
      </c:catAx>
      <c:valAx>
        <c:axId val="3666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45474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cap="all" baseline="0">
          <a:solidFill>
            <a:schemeClr val="bg2">
              <a:lumMod val="50000"/>
            </a:schemeClr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[Análisis de ventas comerciales.xlsx]Tablas dinámicas vendedores!TablaDinámica11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all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MX" cap="all" baseline="0"/>
              <a:t>Cantidad vendida por vendedor</a:t>
            </a:r>
          </a:p>
        </c:rich>
      </c:tx>
      <c:layout>
        <c:manualLayout>
          <c:xMode val="edge"/>
          <c:yMode val="edge"/>
          <c:x val="0.15896862062219036"/>
          <c:y val="3.0927831913321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all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'Tablas dinámicas vendedores'!$E$2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'Tablas dinámicas vendedores'!$D$3:$D$20</c:f>
              <c:strCache>
                <c:ptCount val="17"/>
                <c:pt idx="0">
                  <c:v>Esaralegui</c:v>
                </c:pt>
                <c:pt idx="1">
                  <c:v>Avergara</c:v>
                </c:pt>
                <c:pt idx="2">
                  <c:v>Mnoguera</c:v>
                </c:pt>
                <c:pt idx="3">
                  <c:v>Agomez</c:v>
                </c:pt>
                <c:pt idx="4">
                  <c:v>Srambaldo</c:v>
                </c:pt>
                <c:pt idx="5">
                  <c:v>Mloibiso</c:v>
                </c:pt>
                <c:pt idx="6">
                  <c:v>Jlopez</c:v>
                </c:pt>
                <c:pt idx="7">
                  <c:v>Ccarrizo</c:v>
                </c:pt>
                <c:pt idx="8">
                  <c:v>Dsandoval</c:v>
                </c:pt>
                <c:pt idx="9">
                  <c:v>Fcasco</c:v>
                </c:pt>
                <c:pt idx="10">
                  <c:v>Abrieva</c:v>
                </c:pt>
                <c:pt idx="11">
                  <c:v>Lzeppa</c:v>
                </c:pt>
                <c:pt idx="12">
                  <c:v>Ggonzalez</c:v>
                </c:pt>
                <c:pt idx="13">
                  <c:v>Mnatalini</c:v>
                </c:pt>
                <c:pt idx="14">
                  <c:v>Dacosta</c:v>
                </c:pt>
                <c:pt idx="15">
                  <c:v>Scorrales</c:v>
                </c:pt>
                <c:pt idx="16">
                  <c:v>Mnarduzzi</c:v>
                </c:pt>
              </c:strCache>
            </c:strRef>
          </c:cat>
          <c:val>
            <c:numRef>
              <c:f>'Tablas dinámicas vendedores'!$E$3:$E$20</c:f>
              <c:numCache>
                <c:formatCode>_ * #,##0_ ;_ * \-#,##0_ ;_ * "-"??_ ;_ @_ </c:formatCode>
                <c:ptCount val="17"/>
                <c:pt idx="0">
                  <c:v>151</c:v>
                </c:pt>
                <c:pt idx="1">
                  <c:v>261</c:v>
                </c:pt>
                <c:pt idx="2">
                  <c:v>341</c:v>
                </c:pt>
                <c:pt idx="3">
                  <c:v>362</c:v>
                </c:pt>
                <c:pt idx="4">
                  <c:v>369</c:v>
                </c:pt>
                <c:pt idx="5">
                  <c:v>382</c:v>
                </c:pt>
                <c:pt idx="6">
                  <c:v>431</c:v>
                </c:pt>
                <c:pt idx="7">
                  <c:v>434</c:v>
                </c:pt>
                <c:pt idx="8">
                  <c:v>471</c:v>
                </c:pt>
                <c:pt idx="9">
                  <c:v>475</c:v>
                </c:pt>
                <c:pt idx="10">
                  <c:v>512</c:v>
                </c:pt>
                <c:pt idx="11">
                  <c:v>542</c:v>
                </c:pt>
                <c:pt idx="12">
                  <c:v>573</c:v>
                </c:pt>
                <c:pt idx="13">
                  <c:v>627</c:v>
                </c:pt>
                <c:pt idx="14">
                  <c:v>655</c:v>
                </c:pt>
                <c:pt idx="15">
                  <c:v>697</c:v>
                </c:pt>
                <c:pt idx="16">
                  <c:v>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0-4A21-8E35-5C2325565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3102816"/>
        <c:axId val="703101376"/>
        <c:axId val="0"/>
      </c:bar3DChart>
      <c:catAx>
        <c:axId val="7031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703101376"/>
        <c:crosses val="autoZero"/>
        <c:auto val="1"/>
        <c:lblAlgn val="ctr"/>
        <c:lblOffset val="100"/>
        <c:noMultiLvlLbl val="0"/>
      </c:catAx>
      <c:valAx>
        <c:axId val="7031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MX"/>
          </a:p>
        </c:txPr>
        <c:crossAx val="7031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2">
            <a:lumMod val="110000"/>
            <a:satMod val="105000"/>
            <a:tint val="67000"/>
          </a:schemeClr>
        </a:gs>
        <a:gs pos="50000">
          <a:schemeClr val="accent2">
            <a:lumMod val="105000"/>
            <a:satMod val="103000"/>
            <a:tint val="73000"/>
          </a:schemeClr>
        </a:gs>
        <a:gs pos="100000">
          <a:schemeClr val="accent2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b="1">
          <a:solidFill>
            <a:schemeClr val="bg2">
              <a:lumMod val="50000"/>
            </a:schemeClr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[Análisis de ventas comerciales.xlsx]Tablas dinámicas vendedores!TablaDinámica13</c:name>
    <c:fmtId val="3"/>
  </c:pivotSource>
  <c:chart>
    <c:title>
      <c:tx>
        <c:rich>
          <a:bodyPr rot="0" spcFirstLastPara="1" vertOverflow="ellipsis" vert="horz" wrap="square" anchor="t" anchorCtr="1"/>
          <a:lstStyle/>
          <a:p>
            <a:pPr>
              <a:defRPr sz="1600" b="1" i="0" u="none" strike="noStrike" kern="1200" cap="all" spc="0" baseline="0">
                <a:solidFill>
                  <a:schemeClr val="bg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s-MX" sz="1600"/>
              <a:t>Forma de Pago</a:t>
            </a:r>
          </a:p>
        </c:rich>
      </c:tx>
      <c:layout>
        <c:manualLayout>
          <c:xMode val="edge"/>
          <c:yMode val="edge"/>
          <c:x val="0.39040643044491535"/>
          <c:y val="3.8684719535783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600" b="1" i="0" u="none" strike="noStrike" kern="1200" cap="all" spc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cap="all" baseline="0">
                  <a:solidFill>
                    <a:schemeClr val="bg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'Tablas dinámicas vendedores'!$H$6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B3-4E0A-80C5-AD4C3FF5F2C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B3-4E0A-80C5-AD4C3FF5F2C8}"/>
              </c:ext>
            </c:extLst>
          </c:dPt>
          <c:cat>
            <c:strRef>
              <c:f>'Tablas dinámicas vendedores'!$G$7:$G$9</c:f>
              <c:strCache>
                <c:ptCount val="2"/>
                <c:pt idx="0">
                  <c:v>Efectivo</c:v>
                </c:pt>
                <c:pt idx="1">
                  <c:v>Tarjeta</c:v>
                </c:pt>
              </c:strCache>
            </c:strRef>
          </c:cat>
          <c:val>
            <c:numRef>
              <c:f>'Tablas dinámicas vendedores'!$H$7:$H$9</c:f>
              <c:numCache>
                <c:formatCode>"$"#,##0_);\("$"#,##0\)</c:formatCode>
                <c:ptCount val="2"/>
                <c:pt idx="0">
                  <c:v>3706843</c:v>
                </c:pt>
                <c:pt idx="1">
                  <c:v>2754428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3-4E0A-80C5-AD4C3FF5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 cap="all" baseline="0">
          <a:solidFill>
            <a:schemeClr val="bg2">
              <a:lumMod val="50000"/>
            </a:schemeClr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2</xdr:row>
      <xdr:rowOff>0</xdr:rowOff>
    </xdr:from>
    <xdr:to>
      <xdr:col>2</xdr:col>
      <xdr:colOff>25400</xdr:colOff>
      <xdr:row>3</xdr:row>
      <xdr:rowOff>31750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8888B5FF-91BD-ADE3-2F78-CB6E3AE46692}"/>
            </a:ext>
          </a:extLst>
        </xdr:cNvPr>
        <xdr:cNvSpPr/>
      </xdr:nvSpPr>
      <xdr:spPr>
        <a:xfrm>
          <a:off x="742950" y="476250"/>
          <a:ext cx="2698750" cy="857250"/>
        </a:xfrm>
        <a:prstGeom prst="roundRect">
          <a:avLst/>
        </a:prstGeom>
        <a:noFill/>
        <a:ln w="38100">
          <a:solidFill>
            <a:schemeClr val="accent6">
              <a:lumMod val="60000"/>
              <a:lumOff val="40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251279</xdr:colOff>
      <xdr:row>4</xdr:row>
      <xdr:rowOff>23584</xdr:rowOff>
    </xdr:from>
    <xdr:to>
      <xdr:col>3</xdr:col>
      <xdr:colOff>1375229</xdr:colOff>
      <xdr:row>25</xdr:row>
      <xdr:rowOff>154213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CCFF9C-80A9-6499-A456-E582D84F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1616527</xdr:colOff>
      <xdr:row>2</xdr:row>
      <xdr:rowOff>1817</xdr:rowOff>
    </xdr:from>
    <xdr:to>
      <xdr:col>5</xdr:col>
      <xdr:colOff>895348</xdr:colOff>
      <xdr:row>3</xdr:row>
      <xdr:rowOff>49895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B477156C-9135-2A38-6F64-E16EC3B692EA}"/>
            </a:ext>
          </a:extLst>
        </xdr:cNvPr>
        <xdr:cNvSpPr/>
      </xdr:nvSpPr>
      <xdr:spPr>
        <a:xfrm>
          <a:off x="5798456" y="473531"/>
          <a:ext cx="2417535" cy="873578"/>
        </a:xfrm>
        <a:prstGeom prst="roundRect">
          <a:avLst/>
        </a:prstGeom>
        <a:noFill/>
        <a:ln w="38100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704851</xdr:colOff>
      <xdr:row>2</xdr:row>
      <xdr:rowOff>23587</xdr:rowOff>
    </xdr:from>
    <xdr:to>
      <xdr:col>8</xdr:col>
      <xdr:colOff>267608</xdr:colOff>
      <xdr:row>3</xdr:row>
      <xdr:rowOff>33565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8F6746F0-E739-4CC1-BF8E-2DA1C64D86A8}"/>
            </a:ext>
          </a:extLst>
        </xdr:cNvPr>
        <xdr:cNvSpPr/>
      </xdr:nvSpPr>
      <xdr:spPr>
        <a:xfrm>
          <a:off x="9975851" y="495301"/>
          <a:ext cx="1966686" cy="835478"/>
        </a:xfrm>
        <a:prstGeom prst="roundRect">
          <a:avLst/>
        </a:prstGeom>
        <a:noFill/>
        <a:ln w="38100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1342118</xdr:colOff>
      <xdr:row>4</xdr:row>
      <xdr:rowOff>23584</xdr:rowOff>
    </xdr:from>
    <xdr:to>
      <xdr:col>10</xdr:col>
      <xdr:colOff>552903</xdr:colOff>
      <xdr:row>25</xdr:row>
      <xdr:rowOff>166914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05127DE9-4A74-631F-DA34-537596B0C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3</xdr:col>
      <xdr:colOff>491671</xdr:colOff>
      <xdr:row>48</xdr:row>
      <xdr:rowOff>63048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F55357A1-462E-87EE-DE11-6E7C8C80B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791936</xdr:colOff>
      <xdr:row>36</xdr:row>
      <xdr:rowOff>104095</xdr:rowOff>
    </xdr:from>
    <xdr:to>
      <xdr:col>5</xdr:col>
      <xdr:colOff>1160235</xdr:colOff>
      <xdr:row>47</xdr:row>
      <xdr:rowOff>140381</xdr:rowOff>
    </xdr:to>
    <xdr:graphicFrame macro="">
      <xdr:nvGraphicFramePr>
        <xdr:cNvPr id="8" name="Gráfico 4">
          <a:extLst>
            <a:ext uri="{FF2B5EF4-FFF2-40B4-BE49-F238E27FC236}">
              <a16:creationId xmlns:a16="http://schemas.microsoft.com/office/drawing/2014/main" id="{B3CD35BB-143A-43D0-091C-6A3DEC4A3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117928</xdr:colOff>
      <xdr:row>32</xdr:row>
      <xdr:rowOff>0</xdr:rowOff>
    </xdr:from>
    <xdr:to>
      <xdr:col>11</xdr:col>
      <xdr:colOff>186871</xdr:colOff>
      <xdr:row>49</xdr:row>
      <xdr:rowOff>154214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7992F2A6-9EFA-2CD8-55C1-462710CEF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1863498</xdr:colOff>
      <xdr:row>24</xdr:row>
      <xdr:rowOff>172357</xdr:rowOff>
    </xdr:from>
    <xdr:to>
      <xdr:col>5</xdr:col>
      <xdr:colOff>853849</xdr:colOff>
      <xdr:row>35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arca">
              <a:extLst>
                <a:ext uri="{FF2B5EF4-FFF2-40B4-BE49-F238E27FC236}">
                  <a16:creationId xmlns:a16="http://schemas.microsoft.com/office/drawing/2014/main" id="{8D170984-24D6-DB1D-B1E6-210929371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3915" y="5252357"/>
              <a:ext cx="2747434" cy="1806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1862137</xdr:colOff>
      <xdr:row>4</xdr:row>
      <xdr:rowOff>23584</xdr:rowOff>
    </xdr:from>
    <xdr:to>
      <xdr:col>5</xdr:col>
      <xdr:colOff>855211</xdr:colOff>
      <xdr:row>10</xdr:row>
      <xdr:rowOff>23584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tegoría">
              <a:extLst>
                <a:ext uri="{FF2B5EF4-FFF2-40B4-BE49-F238E27FC236}">
                  <a16:creationId xmlns:a16="http://schemas.microsoft.com/office/drawing/2014/main" id="{F65F8DAA-4DB3-9661-A189-7B98651FAA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2554" y="1505251"/>
              <a:ext cx="2750157" cy="107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1851645</xdr:colOff>
      <xdr:row>17</xdr:row>
      <xdr:rowOff>133350</xdr:rowOff>
    </xdr:from>
    <xdr:to>
      <xdr:col>5</xdr:col>
      <xdr:colOff>865703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Local">
              <a:extLst>
                <a:ext uri="{FF2B5EF4-FFF2-40B4-BE49-F238E27FC236}">
                  <a16:creationId xmlns:a16="http://schemas.microsoft.com/office/drawing/2014/main" id="{D96232C9-50BE-01D4-4327-90B0F38212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062" y="3953933"/>
              <a:ext cx="2771141" cy="1126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1862137</xdr:colOff>
      <xdr:row>10</xdr:row>
      <xdr:rowOff>151493</xdr:rowOff>
    </xdr:from>
    <xdr:to>
      <xdr:col>5</xdr:col>
      <xdr:colOff>855211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Forma de Pago">
              <a:extLst>
                <a:ext uri="{FF2B5EF4-FFF2-40B4-BE49-F238E27FC236}">
                  <a16:creationId xmlns:a16="http://schemas.microsoft.com/office/drawing/2014/main" id="{B63225C7-3F8D-9855-4412-CCC446C465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2554" y="2712660"/>
              <a:ext cx="2750157" cy="1107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</xdr:row>
      <xdr:rowOff>101600</xdr:rowOff>
    </xdr:from>
    <xdr:to>
      <xdr:col>5</xdr:col>
      <xdr:colOff>622300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4ECA75-76B1-093B-68D1-F24B6BCB0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117475</xdr:colOff>
      <xdr:row>23</xdr:row>
      <xdr:rowOff>31750</xdr:rowOff>
    </xdr:from>
    <xdr:to>
      <xdr:col>5</xdr:col>
      <xdr:colOff>625475</xdr:colOff>
      <xdr:row>38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5228DC-6492-0A06-45AF-E591EAC38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527050</xdr:colOff>
      <xdr:row>6</xdr:row>
      <xdr:rowOff>101600</xdr:rowOff>
    </xdr:from>
    <xdr:to>
      <xdr:col>15</xdr:col>
      <xdr:colOff>0</xdr:colOff>
      <xdr:row>22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976ADD-B643-C710-104E-BC2B090A0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527050</xdr:colOff>
      <xdr:row>23</xdr:row>
      <xdr:rowOff>0</xdr:rowOff>
    </xdr:from>
    <xdr:to>
      <xdr:col>15</xdr:col>
      <xdr:colOff>0</xdr:colOff>
      <xdr:row>38</xdr:row>
      <xdr:rowOff>107950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6B2126-0CA2-6472-0E7E-D4EE5C8EC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1287349</xdr:colOff>
      <xdr:row>31</xdr:row>
      <xdr:rowOff>0</xdr:rowOff>
    </xdr:from>
    <xdr:to>
      <xdr:col>7</xdr:col>
      <xdr:colOff>1257413</xdr:colOff>
      <xdr:row>38</xdr:row>
      <xdr:rowOff>12699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Local 1">
              <a:extLst>
                <a:ext uri="{FF2B5EF4-FFF2-40B4-BE49-F238E27FC236}">
                  <a16:creationId xmlns:a16="http://schemas.microsoft.com/office/drawing/2014/main" id="{F4209D88-E63A-85C6-BA96-BE761135E7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2932" y="7207250"/>
              <a:ext cx="2689981" cy="14943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1245961</xdr:colOff>
      <xdr:row>6</xdr:row>
      <xdr:rowOff>101600</xdr:rowOff>
    </xdr:from>
    <xdr:to>
      <xdr:col>7</xdr:col>
      <xdr:colOff>1200603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Vendedor">
              <a:extLst>
                <a:ext uri="{FF2B5EF4-FFF2-40B4-BE49-F238E27FC236}">
                  <a16:creationId xmlns:a16="http://schemas.microsoft.com/office/drawing/2014/main" id="{D6A4A79D-F175-2796-7428-6D42BCF051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1544" y="2017183"/>
              <a:ext cx="2674559" cy="22267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1295060</xdr:colOff>
      <xdr:row>23</xdr:row>
      <xdr:rowOff>0</xdr:rowOff>
    </xdr:from>
    <xdr:to>
      <xdr:col>7</xdr:col>
      <xdr:colOff>1249702</xdr:colOff>
      <xdr:row>28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Forma de Pago 1">
              <a:extLst>
                <a:ext uri="{FF2B5EF4-FFF2-40B4-BE49-F238E27FC236}">
                  <a16:creationId xmlns:a16="http://schemas.microsoft.com/office/drawing/2014/main" id="{FF937BF9-CFDE-254D-0213-62CCBE942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0643" y="5513917"/>
              <a:ext cx="2674559" cy="1058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ara Herrera" refreshedDate="45775.63235659722" createdVersion="8" refreshedVersion="8" minRefreshableVersion="3" recordCount="408" xr:uid="{0454F1E4-4F8B-4C22-A123-3787C267A0B4}">
  <cacheSource type="worksheet">
    <worksheetSource name="Tabla1"/>
  </cacheSource>
  <cacheFields count="13">
    <cacheField name="Fecha Venta" numFmtId="166">
      <sharedItems containsSemiMixedTypes="0" containsNonDate="0" containsDate="1" containsString="0" minDate="2018-08-12T00:00:00" maxDate="2018-08-23T00:00:00"/>
    </cacheField>
    <cacheField name="Producto" numFmtId="0">
      <sharedItems count="25">
        <s v="LAVAVAJILLAS"/>
        <s v="HELADERA CON FREEZER"/>
        <s v="COCINA"/>
        <s v="LAVARROPAS"/>
        <s v="MICROONDAS"/>
        <s v="TV COLOR FLAT 21&quot; + REPRODUCTOR DE DVD"/>
        <s v="REPRODUCTOR Y GRABADORA DE DVD"/>
        <s v="REPRODUCTOR DE DVD"/>
        <s v="PROCESADORA"/>
        <s v="DEPILADORA"/>
        <s v="REPRODUCTOR MP3"/>
        <s v="CAFETERA"/>
        <s v="LICUADORA"/>
        <s v="RADIOGRABADOR "/>
        <s v="SECARROPAS"/>
        <s v="HELADERA"/>
        <s v="FREEZER"/>
        <s v="BATIDORA MANUAL"/>
        <s v="RADIO RELOJ CR-001"/>
        <s v="AIRE ACONDICIONADO"/>
        <s v="TV COLOR FLAT 21&quot;"/>
        <s v="RADIOGRABADOR"/>
        <s v="RADIO  DRK-30"/>
        <s v="TV COLOR 20&quot;"/>
        <s v="TV COLOR 14&quot;"/>
      </sharedItems>
    </cacheField>
    <cacheField name="Marca" numFmtId="0">
      <sharedItems count="11">
        <s v="AUDIOLOGIC"/>
        <s v="GAFA"/>
        <s v="PHILIPS"/>
        <s v="WHIRLPOOL"/>
        <s v="DATSUN"/>
        <s v="NOBLEX"/>
        <s v="PHILCO"/>
        <s v="ARISTON"/>
        <s v="ELECTROLUX"/>
        <s v="DAIHATSU"/>
        <s v="PATRICK"/>
      </sharedItems>
    </cacheField>
    <cacheField name="Categoría" numFmtId="0">
      <sharedItems count="6">
        <s v="Línea Blanca"/>
        <s v="TV/Video/DVD"/>
        <s v="Electro"/>
        <s v="Depiladoras"/>
        <s v="Audio"/>
        <s v="Aire Acondicionado"/>
      </sharedItems>
    </cacheField>
    <cacheField name="Local" numFmtId="0">
      <sharedItems count="6">
        <s v="Liniers"/>
        <s v="Abasto"/>
        <s v="Centro"/>
        <s v="Caballito"/>
        <s v="Alto Palermo"/>
        <s v="Unicenter"/>
      </sharedItems>
    </cacheField>
    <cacheField name="Vendedor" numFmtId="0">
      <sharedItems count="17">
        <s v="Ggonzalez"/>
        <s v="Avergara"/>
        <s v="Srambaldo"/>
        <s v="Mnarduzzi"/>
        <s v="Dsandoval"/>
        <s v="Ccarrizo"/>
        <s v="Lzeppa"/>
        <s v="Abrieva"/>
        <s v="Scorrales"/>
        <s v="Agomez"/>
        <s v="Fcasco"/>
        <s v="Mnoguera"/>
        <s v="Esaralegui"/>
        <s v="Mnatalini"/>
        <s v="Dacosta"/>
        <s v="Mloibiso"/>
        <s v="Jlopez"/>
      </sharedItems>
    </cacheField>
    <cacheField name="Forma de Pago" numFmtId="0">
      <sharedItems count="2">
        <s v="Tarjeta"/>
        <s v="Efectivo"/>
      </sharedItems>
    </cacheField>
    <cacheField name="Precio" numFmtId="165">
      <sharedItems containsSemiMixedTypes="0" containsString="0" containsNumber="1" containsInteger="1" minValue="29" maxValue="2309" count="47">
        <n v="2279"/>
        <n v="1579"/>
        <n v="1399"/>
        <n v="1279"/>
        <n v="1259"/>
        <n v="1249"/>
        <n v="1169"/>
        <n v="1069"/>
        <n v="1050"/>
        <n v="1002"/>
        <n v="999"/>
        <n v="249"/>
        <n v="229"/>
        <n v="195"/>
        <n v="169"/>
        <n v="139"/>
        <n v="129"/>
        <n v="119"/>
        <n v="99"/>
        <n v="89"/>
        <n v="75"/>
        <n v="1599"/>
        <n v="1349"/>
        <n v="1159"/>
        <n v="1029"/>
        <n v="1005"/>
        <n v="909"/>
        <n v="849"/>
        <n v="329"/>
        <n v="319"/>
        <n v="155"/>
        <n v="39"/>
        <n v="1269"/>
        <n v="1049"/>
        <n v="869"/>
        <n v="259"/>
        <n v="2309"/>
        <n v="899"/>
        <n v="1003"/>
        <n v="699"/>
        <n v="1004"/>
        <n v="29"/>
        <n v="1429"/>
        <n v="1000"/>
        <n v="685"/>
        <n v="1001"/>
        <n v="599"/>
      </sharedItems>
    </cacheField>
    <cacheField name="Cantidad" numFmtId="167">
      <sharedItems containsSemiMixedTypes="0" containsString="0" containsNumber="1" containsInteger="1" minValue="1" maxValue="45" count="24">
        <n v="5"/>
        <n v="15"/>
        <n v="6"/>
        <n v="36"/>
        <n v="7"/>
        <n v="45"/>
        <n v="35"/>
        <n v="30"/>
        <n v="22"/>
        <n v="10"/>
        <n v="40"/>
        <n v="24"/>
        <n v="25"/>
        <n v="9"/>
        <n v="26"/>
        <n v="21"/>
        <n v="8"/>
        <n v="18"/>
        <n v="4"/>
        <n v="11"/>
        <n v="3"/>
        <n v="1"/>
        <n v="12"/>
        <n v="2"/>
      </sharedItems>
    </cacheField>
    <cacheField name="Total" numFmtId="168">
      <sharedItems containsSemiMixedTypes="0" containsString="0" containsNumber="1" containsInteger="1" minValue="195" maxValue="102555" count="275">
        <n v="11395"/>
        <n v="23685"/>
        <n v="9474"/>
        <n v="50364"/>
        <n v="8953"/>
        <n v="57555"/>
        <n v="44065"/>
        <n v="7494"/>
        <n v="56205"/>
        <n v="44964"/>
        <n v="40915"/>
        <n v="38484"/>
        <n v="32070"/>
        <n v="23100"/>
        <n v="10020"/>
        <n v="39960"/>
        <n v="9990"/>
        <n v="6993"/>
        <n v="4995"/>
        <n v="11205"/>
        <n v="5976"/>
        <n v="2490"/>
        <n v="5725"/>
        <n v="8244"/>
        <n v="1170"/>
        <n v="4056"/>
        <n v="5004"/>
        <n v="3225"/>
        <n v="2975"/>
        <n v="2178"/>
        <n v="594"/>
        <n v="3204"/>
        <n v="890"/>
        <n v="1800"/>
        <n v="22790"/>
        <n v="47970"/>
        <n v="8094"/>
        <n v="38370"/>
        <n v="6395"/>
        <n v="6245"/>
        <n v="8743"/>
        <n v="28975"/>
        <n v="46305"/>
        <n v="10050"/>
        <n v="8991"/>
        <n v="35964"/>
        <n v="27270"/>
        <n v="33960"/>
        <n v="11515"/>
        <n v="3290"/>
        <n v="1595"/>
        <n v="9160"/>
        <n v="4030"/>
        <n v="2085"/>
        <n v="1390"/>
        <n v="695"/>
        <n v="3870"/>
        <n v="4455"/>
        <n v="1869"/>
        <n v="712"/>
        <n v="195"/>
        <n v="390"/>
        <n v="28782"/>
        <n v="63160"/>
        <n v="6316"/>
        <n v="56844"/>
        <n v="15790"/>
        <n v="38070"/>
        <n v="6345"/>
        <n v="6295"/>
        <n v="30216"/>
        <n v="50360"/>
        <n v="40565"/>
        <n v="10500"/>
        <n v="31470"/>
        <n v="7203"/>
        <n v="41160"/>
        <n v="34965"/>
        <n v="29970"/>
        <n v="39105"/>
        <n v="7896"/>
        <n v="6475"/>
        <n v="1245"/>
        <n v="2290"/>
        <n v="7800"/>
        <n v="4170"/>
        <n v="2970"/>
        <n v="3465"/>
        <n v="2250"/>
        <n v="450"/>
        <n v="975"/>
        <n v="1404"/>
        <n v="25399"/>
        <n v="83124"/>
        <n v="15953"/>
        <n v="55265"/>
        <n v="4737"/>
        <n v="34975"/>
        <n v="55960"/>
        <n v="28138"/>
        <n v="30456"/>
        <n v="29225"/>
        <n v="11690"/>
        <n v="8113"/>
        <n v="31500"/>
        <n v="30870"/>
        <n v="45090"/>
        <n v="22475"/>
        <n v="40455"/>
        <n v="4245"/>
        <n v="9570"/>
        <n v="6225"/>
        <n v="5496"/>
        <n v="6825"/>
        <n v="495"/>
        <n v="3000"/>
        <n v="750"/>
        <n v="273"/>
        <n v="68370"/>
        <n v="15990"/>
        <n v="37896"/>
        <n v="31975"/>
        <n v="44415"/>
        <n v="42084"/>
        <n v="46760"/>
        <n v="45135"/>
        <n v="999"/>
        <n v="8490"/>
        <n v="27960"/>
        <n v="4194"/>
        <n v="8225"/>
        <n v="2303"/>
        <n v="3190"/>
        <n v="2590"/>
        <n v="1295"/>
        <n v="7470"/>
        <n v="1494"/>
        <n v="10305"/>
        <n v="5850"/>
        <n v="1950"/>
        <n v="3875"/>
        <n v="5355"/>
        <n v="4760"/>
        <n v="990"/>
        <n v="375"/>
        <n v="23090"/>
        <n v="13990"/>
        <n v="30696"/>
        <n v="12490"/>
        <n v="7014"/>
        <n v="27816"/>
        <n v="34770"/>
        <n v="52155"/>
        <n v="10690"/>
        <n v="15750"/>
        <n v="7343"/>
        <n v="5245"/>
        <n v="5020"/>
        <n v="7992"/>
        <n v="38205"/>
        <n v="25470"/>
        <n v="6990"/>
        <n v="11165"/>
        <n v="4865"/>
        <n v="5560"/>
        <n v="2475"/>
        <n v="356"/>
        <n v="290"/>
        <n v="69270"/>
        <n v="56975"/>
        <n v="7995"/>
        <n v="11053"/>
        <n v="12790"/>
        <n v="12690"/>
        <n v="10152"/>
        <n v="45324"/>
        <n v="31225"/>
        <n v="5845"/>
        <n v="10490"/>
        <n v="10290"/>
        <n v="5025"/>
        <n v="30120"/>
        <n v="30090"/>
        <n v="5994"/>
        <n v="21725"/>
        <n v="30564"/>
        <n v="8715"/>
        <n v="6084"/>
        <n v="4650"/>
        <n v="1935"/>
        <n v="1290"/>
        <n v="2625"/>
        <n v="936"/>
        <n v="1365"/>
        <n v="23985"/>
        <n v="62955"/>
        <n v="41970"/>
        <n v="33576"/>
        <n v="8883"/>
        <n v="5076"/>
        <n v="37470"/>
        <n v="28056"/>
        <n v="42760"/>
        <n v="36750"/>
        <n v="24696"/>
        <n v="32364"/>
        <n v="14805"/>
        <n v="7770"/>
        <n v="9065"/>
        <n v="8964"/>
        <n v="9960"/>
        <n v="8015"/>
        <n v="6870"/>
        <n v="1014"/>
        <n v="5160"/>
        <n v="3564"/>
        <n v="1068"/>
        <n v="57725"/>
        <n v="54696"/>
        <n v="102555"/>
        <n v="3198"/>
        <n v="8574"/>
        <n v="8394"/>
        <n v="50760"/>
        <n v="7614"/>
        <n v="37770"/>
        <n v="29976"/>
        <n v="6414"/>
        <n v="36715"/>
        <n v="35000"/>
        <n v="24975"/>
        <n v="1798"/>
        <n v="8690"/>
        <n v="30825"/>
        <n v="2925"/>
        <n v="4290"/>
        <n v="3336"/>
        <n v="903"/>
        <n v="3570"/>
        <n v="476"/>
        <n v="3375"/>
        <n v="13674"/>
        <n v="47370"/>
        <n v="10003"/>
        <n v="12861"/>
        <n v="7554"/>
        <n v="46360"/>
        <n v="8400"/>
        <n v="47205"/>
        <n v="10010"/>
        <n v="35035"/>
        <n v="1998"/>
        <n v="23976"/>
        <n v="31815"/>
        <n v="4893"/>
        <n v="17970"/>
        <n v="13160"/>
        <n v="1813"/>
        <n v="11655"/>
        <n v="747"/>
        <n v="774"/>
        <n v="693"/>
        <n v="2225"/>
        <n v="16163"/>
        <n v="12792"/>
        <n v="7674"/>
        <n v="26725"/>
        <n v="40000"/>
        <n v="2997"/>
        <n v="20970"/>
        <n v="9870"/>
        <n v="2233"/>
        <n v="12760"/>
        <n v="6255"/>
        <n v="4515"/>
      </sharedItems>
    </cacheField>
    <cacheField name="Columna1" numFmtId="0">
      <sharedItems/>
    </cacheField>
    <cacheField name="Ticket Promedio" numFmtId="0" formula="Total/Cantidad" databaseField="0"/>
    <cacheField name="Promedio de venta por vendedor" numFmtId="0" formula="Total/Cantidad" databaseField="0"/>
  </cacheFields>
  <extLst>
    <ext xmlns:x14="http://schemas.microsoft.com/office/spreadsheetml/2009/9/main" uri="{725AE2AE-9491-48be-B2B4-4EB974FC3084}">
      <x14:pivotCacheDefinition pivotCacheId="2040607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d v="2018-08-12T00:00:00"/>
    <x v="0"/>
    <x v="0"/>
    <x v="0"/>
    <x v="0"/>
    <x v="0"/>
    <x v="0"/>
    <x v="0"/>
    <x v="0"/>
    <x v="0"/>
    <s v="SI"/>
  </r>
  <r>
    <d v="2018-08-12T00:00:00"/>
    <x v="1"/>
    <x v="1"/>
    <x v="0"/>
    <x v="1"/>
    <x v="1"/>
    <x v="1"/>
    <x v="1"/>
    <x v="1"/>
    <x v="1"/>
    <s v="SI"/>
  </r>
  <r>
    <d v="2018-08-12T00:00:00"/>
    <x v="1"/>
    <x v="2"/>
    <x v="0"/>
    <x v="2"/>
    <x v="2"/>
    <x v="1"/>
    <x v="1"/>
    <x v="2"/>
    <x v="2"/>
    <s v="SI"/>
  </r>
  <r>
    <d v="2018-08-12T00:00:00"/>
    <x v="2"/>
    <x v="0"/>
    <x v="0"/>
    <x v="3"/>
    <x v="3"/>
    <x v="1"/>
    <x v="2"/>
    <x v="3"/>
    <x v="3"/>
    <s v="SI"/>
  </r>
  <r>
    <d v="2018-08-12T00:00:00"/>
    <x v="1"/>
    <x v="3"/>
    <x v="0"/>
    <x v="1"/>
    <x v="4"/>
    <x v="0"/>
    <x v="3"/>
    <x v="4"/>
    <x v="4"/>
    <s v="SI"/>
  </r>
  <r>
    <d v="2018-08-12T00:00:00"/>
    <x v="1"/>
    <x v="2"/>
    <x v="0"/>
    <x v="0"/>
    <x v="0"/>
    <x v="1"/>
    <x v="3"/>
    <x v="5"/>
    <x v="5"/>
    <s v="SI"/>
  </r>
  <r>
    <d v="2018-08-12T00:00:00"/>
    <x v="3"/>
    <x v="1"/>
    <x v="0"/>
    <x v="4"/>
    <x v="5"/>
    <x v="1"/>
    <x v="4"/>
    <x v="6"/>
    <x v="6"/>
    <s v="SI"/>
  </r>
  <r>
    <d v="2018-08-12T00:00:00"/>
    <x v="2"/>
    <x v="4"/>
    <x v="0"/>
    <x v="4"/>
    <x v="6"/>
    <x v="1"/>
    <x v="5"/>
    <x v="2"/>
    <x v="7"/>
    <s v="SI"/>
  </r>
  <r>
    <d v="2018-08-12T00:00:00"/>
    <x v="2"/>
    <x v="5"/>
    <x v="0"/>
    <x v="4"/>
    <x v="6"/>
    <x v="0"/>
    <x v="5"/>
    <x v="2"/>
    <x v="7"/>
    <s v="SI"/>
  </r>
  <r>
    <d v="2018-08-12T00:00:00"/>
    <x v="2"/>
    <x v="4"/>
    <x v="0"/>
    <x v="5"/>
    <x v="7"/>
    <x v="1"/>
    <x v="5"/>
    <x v="5"/>
    <x v="8"/>
    <s v="SI"/>
  </r>
  <r>
    <d v="2018-08-12T00:00:00"/>
    <x v="2"/>
    <x v="2"/>
    <x v="0"/>
    <x v="5"/>
    <x v="7"/>
    <x v="0"/>
    <x v="5"/>
    <x v="3"/>
    <x v="9"/>
    <s v="SI"/>
  </r>
  <r>
    <d v="2018-08-12T00:00:00"/>
    <x v="4"/>
    <x v="4"/>
    <x v="0"/>
    <x v="5"/>
    <x v="8"/>
    <x v="0"/>
    <x v="6"/>
    <x v="6"/>
    <x v="10"/>
    <s v="SI"/>
  </r>
  <r>
    <d v="2018-08-12T00:00:00"/>
    <x v="3"/>
    <x v="3"/>
    <x v="0"/>
    <x v="1"/>
    <x v="1"/>
    <x v="1"/>
    <x v="7"/>
    <x v="3"/>
    <x v="11"/>
    <s v="SI"/>
  </r>
  <r>
    <d v="2018-08-12T00:00:00"/>
    <x v="3"/>
    <x v="3"/>
    <x v="0"/>
    <x v="5"/>
    <x v="8"/>
    <x v="1"/>
    <x v="7"/>
    <x v="7"/>
    <x v="12"/>
    <s v="SI"/>
  </r>
  <r>
    <d v="2018-08-12T00:00:00"/>
    <x v="5"/>
    <x v="2"/>
    <x v="1"/>
    <x v="2"/>
    <x v="2"/>
    <x v="1"/>
    <x v="8"/>
    <x v="8"/>
    <x v="13"/>
    <s v="SI"/>
  </r>
  <r>
    <d v="2018-08-12T00:00:00"/>
    <x v="5"/>
    <x v="2"/>
    <x v="1"/>
    <x v="2"/>
    <x v="9"/>
    <x v="1"/>
    <x v="9"/>
    <x v="9"/>
    <x v="14"/>
    <s v="SI"/>
  </r>
  <r>
    <d v="2018-08-12T00:00:00"/>
    <x v="5"/>
    <x v="2"/>
    <x v="1"/>
    <x v="3"/>
    <x v="10"/>
    <x v="0"/>
    <x v="10"/>
    <x v="10"/>
    <x v="15"/>
    <s v="SI"/>
  </r>
  <r>
    <d v="2018-08-12T00:00:00"/>
    <x v="6"/>
    <x v="2"/>
    <x v="1"/>
    <x v="3"/>
    <x v="3"/>
    <x v="1"/>
    <x v="10"/>
    <x v="9"/>
    <x v="16"/>
    <s v="SI"/>
  </r>
  <r>
    <d v="2018-08-12T00:00:00"/>
    <x v="6"/>
    <x v="2"/>
    <x v="1"/>
    <x v="0"/>
    <x v="11"/>
    <x v="0"/>
    <x v="10"/>
    <x v="4"/>
    <x v="17"/>
    <s v="SI"/>
  </r>
  <r>
    <d v="2018-08-12T00:00:00"/>
    <x v="6"/>
    <x v="2"/>
    <x v="1"/>
    <x v="5"/>
    <x v="8"/>
    <x v="0"/>
    <x v="10"/>
    <x v="0"/>
    <x v="18"/>
    <s v="SI"/>
  </r>
  <r>
    <d v="2018-08-12T00:00:00"/>
    <x v="7"/>
    <x v="2"/>
    <x v="1"/>
    <x v="4"/>
    <x v="5"/>
    <x v="1"/>
    <x v="11"/>
    <x v="5"/>
    <x v="19"/>
    <s v="SI"/>
  </r>
  <r>
    <d v="2018-08-12T00:00:00"/>
    <x v="7"/>
    <x v="2"/>
    <x v="1"/>
    <x v="2"/>
    <x v="9"/>
    <x v="1"/>
    <x v="11"/>
    <x v="11"/>
    <x v="20"/>
    <s v="SI"/>
  </r>
  <r>
    <d v="2018-08-12T00:00:00"/>
    <x v="7"/>
    <x v="2"/>
    <x v="1"/>
    <x v="5"/>
    <x v="12"/>
    <x v="0"/>
    <x v="11"/>
    <x v="9"/>
    <x v="21"/>
    <s v="SI"/>
  </r>
  <r>
    <d v="2018-08-12T00:00:00"/>
    <x v="7"/>
    <x v="3"/>
    <x v="1"/>
    <x v="1"/>
    <x v="13"/>
    <x v="1"/>
    <x v="12"/>
    <x v="12"/>
    <x v="22"/>
    <s v="SI"/>
  </r>
  <r>
    <d v="2018-08-12T00:00:00"/>
    <x v="7"/>
    <x v="2"/>
    <x v="1"/>
    <x v="0"/>
    <x v="14"/>
    <x v="1"/>
    <x v="12"/>
    <x v="3"/>
    <x v="23"/>
    <s v="SI"/>
  </r>
  <r>
    <d v="2018-08-12T00:00:00"/>
    <x v="8"/>
    <x v="0"/>
    <x v="2"/>
    <x v="4"/>
    <x v="15"/>
    <x v="0"/>
    <x v="13"/>
    <x v="2"/>
    <x v="24"/>
    <s v="SI"/>
  </r>
  <r>
    <d v="2018-08-12T00:00:00"/>
    <x v="9"/>
    <x v="4"/>
    <x v="3"/>
    <x v="3"/>
    <x v="10"/>
    <x v="0"/>
    <x v="14"/>
    <x v="11"/>
    <x v="25"/>
    <s v="SI"/>
  </r>
  <r>
    <d v="2018-08-12T00:00:00"/>
    <x v="10"/>
    <x v="1"/>
    <x v="4"/>
    <x v="0"/>
    <x v="0"/>
    <x v="0"/>
    <x v="15"/>
    <x v="3"/>
    <x v="26"/>
    <s v="SI"/>
  </r>
  <r>
    <d v="2018-08-12T00:00:00"/>
    <x v="10"/>
    <x v="3"/>
    <x v="4"/>
    <x v="3"/>
    <x v="3"/>
    <x v="0"/>
    <x v="16"/>
    <x v="12"/>
    <x v="27"/>
    <s v="SI"/>
  </r>
  <r>
    <d v="2018-08-12T00:00:00"/>
    <x v="9"/>
    <x v="6"/>
    <x v="3"/>
    <x v="5"/>
    <x v="8"/>
    <x v="0"/>
    <x v="17"/>
    <x v="12"/>
    <x v="28"/>
    <s v="SI"/>
  </r>
  <r>
    <d v="2018-08-12T00:00:00"/>
    <x v="11"/>
    <x v="4"/>
    <x v="2"/>
    <x v="4"/>
    <x v="15"/>
    <x v="0"/>
    <x v="18"/>
    <x v="8"/>
    <x v="29"/>
    <s v="SI"/>
  </r>
  <r>
    <d v="2018-08-12T00:00:00"/>
    <x v="12"/>
    <x v="3"/>
    <x v="2"/>
    <x v="0"/>
    <x v="14"/>
    <x v="0"/>
    <x v="18"/>
    <x v="2"/>
    <x v="30"/>
    <s v="SI"/>
  </r>
  <r>
    <d v="2018-08-12T00:00:00"/>
    <x v="13"/>
    <x v="3"/>
    <x v="4"/>
    <x v="1"/>
    <x v="4"/>
    <x v="0"/>
    <x v="19"/>
    <x v="3"/>
    <x v="31"/>
    <s v="SI"/>
  </r>
  <r>
    <d v="2018-08-12T00:00:00"/>
    <x v="13"/>
    <x v="2"/>
    <x v="4"/>
    <x v="0"/>
    <x v="11"/>
    <x v="0"/>
    <x v="19"/>
    <x v="9"/>
    <x v="32"/>
    <s v="SI"/>
  </r>
  <r>
    <d v="2018-08-12T00:00:00"/>
    <x v="12"/>
    <x v="2"/>
    <x v="2"/>
    <x v="0"/>
    <x v="11"/>
    <x v="0"/>
    <x v="20"/>
    <x v="11"/>
    <x v="33"/>
    <s v="SI"/>
  </r>
  <r>
    <d v="2018-08-13T00:00:00"/>
    <x v="0"/>
    <x v="0"/>
    <x v="0"/>
    <x v="1"/>
    <x v="1"/>
    <x v="1"/>
    <x v="0"/>
    <x v="9"/>
    <x v="34"/>
    <s v="SI"/>
  </r>
  <r>
    <d v="2018-08-13T00:00:00"/>
    <x v="0"/>
    <x v="3"/>
    <x v="0"/>
    <x v="2"/>
    <x v="2"/>
    <x v="1"/>
    <x v="21"/>
    <x v="7"/>
    <x v="35"/>
    <s v="SI"/>
  </r>
  <r>
    <d v="2018-08-13T00:00:00"/>
    <x v="2"/>
    <x v="7"/>
    <x v="0"/>
    <x v="2"/>
    <x v="2"/>
    <x v="1"/>
    <x v="22"/>
    <x v="2"/>
    <x v="36"/>
    <s v="SI"/>
  </r>
  <r>
    <d v="2018-08-13T00:00:00"/>
    <x v="1"/>
    <x v="2"/>
    <x v="0"/>
    <x v="0"/>
    <x v="11"/>
    <x v="0"/>
    <x v="3"/>
    <x v="7"/>
    <x v="37"/>
    <s v="SI"/>
  </r>
  <r>
    <d v="2018-08-13T00:00:00"/>
    <x v="1"/>
    <x v="2"/>
    <x v="0"/>
    <x v="5"/>
    <x v="12"/>
    <x v="0"/>
    <x v="3"/>
    <x v="0"/>
    <x v="38"/>
    <s v="SI"/>
  </r>
  <r>
    <d v="2018-08-13T00:00:00"/>
    <x v="2"/>
    <x v="5"/>
    <x v="0"/>
    <x v="4"/>
    <x v="6"/>
    <x v="0"/>
    <x v="5"/>
    <x v="0"/>
    <x v="39"/>
    <s v="SI"/>
  </r>
  <r>
    <d v="2018-08-13T00:00:00"/>
    <x v="2"/>
    <x v="6"/>
    <x v="0"/>
    <x v="4"/>
    <x v="15"/>
    <x v="1"/>
    <x v="5"/>
    <x v="4"/>
    <x v="40"/>
    <s v="SI"/>
  </r>
  <r>
    <d v="2018-08-13T00:00:00"/>
    <x v="14"/>
    <x v="5"/>
    <x v="0"/>
    <x v="2"/>
    <x v="16"/>
    <x v="0"/>
    <x v="23"/>
    <x v="12"/>
    <x v="41"/>
    <s v="SI"/>
  </r>
  <r>
    <d v="2018-08-13T00:00:00"/>
    <x v="15"/>
    <x v="4"/>
    <x v="0"/>
    <x v="4"/>
    <x v="6"/>
    <x v="0"/>
    <x v="24"/>
    <x v="5"/>
    <x v="42"/>
    <s v="SI"/>
  </r>
  <r>
    <d v="2018-08-13T00:00:00"/>
    <x v="5"/>
    <x v="1"/>
    <x v="1"/>
    <x v="3"/>
    <x v="10"/>
    <x v="1"/>
    <x v="25"/>
    <x v="9"/>
    <x v="43"/>
    <s v="SI"/>
  </r>
  <r>
    <d v="2018-08-13T00:00:00"/>
    <x v="6"/>
    <x v="8"/>
    <x v="1"/>
    <x v="3"/>
    <x v="3"/>
    <x v="0"/>
    <x v="10"/>
    <x v="13"/>
    <x v="44"/>
    <s v="SI"/>
  </r>
  <r>
    <d v="2018-08-13T00:00:00"/>
    <x v="6"/>
    <x v="2"/>
    <x v="1"/>
    <x v="0"/>
    <x v="0"/>
    <x v="1"/>
    <x v="10"/>
    <x v="3"/>
    <x v="45"/>
    <s v="SI"/>
  </r>
  <r>
    <d v="2018-08-13T00:00:00"/>
    <x v="6"/>
    <x v="3"/>
    <x v="1"/>
    <x v="0"/>
    <x v="0"/>
    <x v="0"/>
    <x v="10"/>
    <x v="9"/>
    <x v="16"/>
    <s v="SI"/>
  </r>
  <r>
    <d v="2018-08-13T00:00:00"/>
    <x v="15"/>
    <x v="3"/>
    <x v="0"/>
    <x v="3"/>
    <x v="10"/>
    <x v="0"/>
    <x v="26"/>
    <x v="7"/>
    <x v="46"/>
    <s v="SI"/>
  </r>
  <r>
    <d v="2018-08-13T00:00:00"/>
    <x v="16"/>
    <x v="9"/>
    <x v="0"/>
    <x v="4"/>
    <x v="6"/>
    <x v="0"/>
    <x v="27"/>
    <x v="10"/>
    <x v="47"/>
    <s v="SI"/>
  </r>
  <r>
    <d v="2018-08-13T00:00:00"/>
    <x v="7"/>
    <x v="1"/>
    <x v="1"/>
    <x v="0"/>
    <x v="11"/>
    <x v="0"/>
    <x v="28"/>
    <x v="6"/>
    <x v="48"/>
    <s v="SI"/>
  </r>
  <r>
    <d v="2018-08-13T00:00:00"/>
    <x v="7"/>
    <x v="2"/>
    <x v="1"/>
    <x v="0"/>
    <x v="0"/>
    <x v="0"/>
    <x v="28"/>
    <x v="9"/>
    <x v="49"/>
    <s v="SI"/>
  </r>
  <r>
    <d v="2018-08-13T00:00:00"/>
    <x v="7"/>
    <x v="5"/>
    <x v="1"/>
    <x v="1"/>
    <x v="1"/>
    <x v="0"/>
    <x v="29"/>
    <x v="0"/>
    <x v="50"/>
    <s v="SI"/>
  </r>
  <r>
    <d v="2018-08-13T00:00:00"/>
    <x v="7"/>
    <x v="3"/>
    <x v="1"/>
    <x v="0"/>
    <x v="0"/>
    <x v="0"/>
    <x v="11"/>
    <x v="9"/>
    <x v="21"/>
    <s v="SI"/>
  </r>
  <r>
    <d v="2018-08-13T00:00:00"/>
    <x v="7"/>
    <x v="1"/>
    <x v="1"/>
    <x v="1"/>
    <x v="13"/>
    <x v="1"/>
    <x v="12"/>
    <x v="10"/>
    <x v="51"/>
    <s v="SI"/>
  </r>
  <r>
    <d v="2018-08-13T00:00:00"/>
    <x v="17"/>
    <x v="1"/>
    <x v="2"/>
    <x v="2"/>
    <x v="2"/>
    <x v="1"/>
    <x v="30"/>
    <x v="14"/>
    <x v="52"/>
    <s v="SI"/>
  </r>
  <r>
    <d v="2018-08-13T00:00:00"/>
    <x v="10"/>
    <x v="2"/>
    <x v="4"/>
    <x v="4"/>
    <x v="15"/>
    <x v="1"/>
    <x v="15"/>
    <x v="1"/>
    <x v="53"/>
    <s v="SI"/>
  </r>
  <r>
    <d v="2018-08-13T00:00:00"/>
    <x v="10"/>
    <x v="3"/>
    <x v="4"/>
    <x v="3"/>
    <x v="3"/>
    <x v="1"/>
    <x v="15"/>
    <x v="9"/>
    <x v="54"/>
    <s v="SI"/>
  </r>
  <r>
    <d v="2018-08-13T00:00:00"/>
    <x v="10"/>
    <x v="7"/>
    <x v="4"/>
    <x v="0"/>
    <x v="14"/>
    <x v="0"/>
    <x v="15"/>
    <x v="0"/>
    <x v="55"/>
    <s v="SI"/>
  </r>
  <r>
    <d v="2018-08-13T00:00:00"/>
    <x v="10"/>
    <x v="3"/>
    <x v="4"/>
    <x v="1"/>
    <x v="13"/>
    <x v="1"/>
    <x v="16"/>
    <x v="7"/>
    <x v="56"/>
    <s v="SI"/>
  </r>
  <r>
    <d v="2018-08-13T00:00:00"/>
    <x v="12"/>
    <x v="1"/>
    <x v="2"/>
    <x v="0"/>
    <x v="14"/>
    <x v="1"/>
    <x v="18"/>
    <x v="5"/>
    <x v="57"/>
    <s v="SI"/>
  </r>
  <r>
    <d v="2018-08-13T00:00:00"/>
    <x v="13"/>
    <x v="7"/>
    <x v="4"/>
    <x v="4"/>
    <x v="15"/>
    <x v="0"/>
    <x v="19"/>
    <x v="15"/>
    <x v="58"/>
    <s v="SI"/>
  </r>
  <r>
    <d v="2018-08-13T00:00:00"/>
    <x v="13"/>
    <x v="7"/>
    <x v="4"/>
    <x v="4"/>
    <x v="15"/>
    <x v="1"/>
    <x v="19"/>
    <x v="16"/>
    <x v="59"/>
    <s v="SI"/>
  </r>
  <r>
    <d v="2018-08-13T00:00:00"/>
    <x v="18"/>
    <x v="6"/>
    <x v="4"/>
    <x v="1"/>
    <x v="4"/>
    <x v="1"/>
    <x v="31"/>
    <x v="0"/>
    <x v="60"/>
    <s v="SI"/>
  </r>
  <r>
    <d v="2018-08-13T00:00:00"/>
    <x v="18"/>
    <x v="3"/>
    <x v="4"/>
    <x v="3"/>
    <x v="3"/>
    <x v="1"/>
    <x v="31"/>
    <x v="9"/>
    <x v="61"/>
    <s v="SI"/>
  </r>
  <r>
    <d v="2018-08-13T00:00:00"/>
    <x v="18"/>
    <x v="3"/>
    <x v="4"/>
    <x v="2"/>
    <x v="16"/>
    <x v="1"/>
    <x v="31"/>
    <x v="9"/>
    <x v="61"/>
    <s v="SI"/>
  </r>
  <r>
    <d v="2018-08-14T00:00:00"/>
    <x v="0"/>
    <x v="7"/>
    <x v="0"/>
    <x v="2"/>
    <x v="2"/>
    <x v="1"/>
    <x v="21"/>
    <x v="17"/>
    <x v="62"/>
    <s v="SI"/>
  </r>
  <r>
    <d v="2018-08-14T00:00:00"/>
    <x v="1"/>
    <x v="3"/>
    <x v="0"/>
    <x v="1"/>
    <x v="4"/>
    <x v="1"/>
    <x v="1"/>
    <x v="10"/>
    <x v="63"/>
    <s v="SI"/>
  </r>
  <r>
    <d v="2018-08-14T00:00:00"/>
    <x v="1"/>
    <x v="2"/>
    <x v="0"/>
    <x v="1"/>
    <x v="4"/>
    <x v="1"/>
    <x v="1"/>
    <x v="18"/>
    <x v="64"/>
    <s v="SI"/>
  </r>
  <r>
    <d v="2018-08-14T00:00:00"/>
    <x v="1"/>
    <x v="3"/>
    <x v="0"/>
    <x v="4"/>
    <x v="5"/>
    <x v="1"/>
    <x v="1"/>
    <x v="3"/>
    <x v="65"/>
    <s v="SI"/>
  </r>
  <r>
    <d v="2018-08-14T00:00:00"/>
    <x v="1"/>
    <x v="2"/>
    <x v="0"/>
    <x v="0"/>
    <x v="11"/>
    <x v="0"/>
    <x v="1"/>
    <x v="9"/>
    <x v="66"/>
    <s v="SI"/>
  </r>
  <r>
    <d v="2018-08-14T00:00:00"/>
    <x v="1"/>
    <x v="7"/>
    <x v="0"/>
    <x v="4"/>
    <x v="6"/>
    <x v="0"/>
    <x v="32"/>
    <x v="7"/>
    <x v="67"/>
    <s v="SI"/>
  </r>
  <r>
    <d v="2018-08-14T00:00:00"/>
    <x v="1"/>
    <x v="4"/>
    <x v="0"/>
    <x v="5"/>
    <x v="7"/>
    <x v="1"/>
    <x v="32"/>
    <x v="7"/>
    <x v="67"/>
    <s v="SI"/>
  </r>
  <r>
    <d v="2018-08-14T00:00:00"/>
    <x v="1"/>
    <x v="7"/>
    <x v="0"/>
    <x v="5"/>
    <x v="8"/>
    <x v="0"/>
    <x v="32"/>
    <x v="0"/>
    <x v="68"/>
    <s v="SI"/>
  </r>
  <r>
    <d v="2018-08-14T00:00:00"/>
    <x v="3"/>
    <x v="1"/>
    <x v="0"/>
    <x v="1"/>
    <x v="1"/>
    <x v="1"/>
    <x v="4"/>
    <x v="0"/>
    <x v="69"/>
    <s v="SI"/>
  </r>
  <r>
    <d v="2018-08-14T00:00:00"/>
    <x v="3"/>
    <x v="4"/>
    <x v="0"/>
    <x v="1"/>
    <x v="1"/>
    <x v="0"/>
    <x v="4"/>
    <x v="11"/>
    <x v="70"/>
    <s v="SI"/>
  </r>
  <r>
    <d v="2018-08-14T00:00:00"/>
    <x v="3"/>
    <x v="0"/>
    <x v="0"/>
    <x v="3"/>
    <x v="3"/>
    <x v="0"/>
    <x v="4"/>
    <x v="10"/>
    <x v="71"/>
    <s v="SI"/>
  </r>
  <r>
    <d v="2018-08-14T00:00:00"/>
    <x v="2"/>
    <x v="3"/>
    <x v="0"/>
    <x v="0"/>
    <x v="14"/>
    <x v="1"/>
    <x v="5"/>
    <x v="0"/>
    <x v="39"/>
    <s v="SI"/>
  </r>
  <r>
    <d v="2018-08-14T00:00:00"/>
    <x v="14"/>
    <x v="10"/>
    <x v="0"/>
    <x v="4"/>
    <x v="6"/>
    <x v="0"/>
    <x v="23"/>
    <x v="6"/>
    <x v="72"/>
    <s v="SI"/>
  </r>
  <r>
    <d v="2018-08-14T00:00:00"/>
    <x v="5"/>
    <x v="2"/>
    <x v="1"/>
    <x v="4"/>
    <x v="15"/>
    <x v="0"/>
    <x v="8"/>
    <x v="9"/>
    <x v="73"/>
    <s v="SI"/>
  </r>
  <r>
    <d v="2018-08-14T00:00:00"/>
    <x v="16"/>
    <x v="2"/>
    <x v="0"/>
    <x v="0"/>
    <x v="0"/>
    <x v="1"/>
    <x v="33"/>
    <x v="7"/>
    <x v="74"/>
    <s v="SI"/>
  </r>
  <r>
    <d v="2018-08-14T00:00:00"/>
    <x v="15"/>
    <x v="3"/>
    <x v="0"/>
    <x v="1"/>
    <x v="13"/>
    <x v="1"/>
    <x v="24"/>
    <x v="4"/>
    <x v="75"/>
    <s v="SI"/>
  </r>
  <r>
    <d v="2018-08-14T00:00:00"/>
    <x v="15"/>
    <x v="4"/>
    <x v="0"/>
    <x v="3"/>
    <x v="10"/>
    <x v="1"/>
    <x v="24"/>
    <x v="10"/>
    <x v="76"/>
    <s v="SI"/>
  </r>
  <r>
    <d v="2018-08-14T00:00:00"/>
    <x v="6"/>
    <x v="2"/>
    <x v="1"/>
    <x v="1"/>
    <x v="4"/>
    <x v="1"/>
    <x v="10"/>
    <x v="6"/>
    <x v="77"/>
    <s v="SI"/>
  </r>
  <r>
    <d v="2018-08-14T00:00:00"/>
    <x v="6"/>
    <x v="2"/>
    <x v="1"/>
    <x v="1"/>
    <x v="4"/>
    <x v="1"/>
    <x v="10"/>
    <x v="9"/>
    <x v="16"/>
    <s v="SI"/>
  </r>
  <r>
    <d v="2018-08-14T00:00:00"/>
    <x v="6"/>
    <x v="2"/>
    <x v="1"/>
    <x v="5"/>
    <x v="8"/>
    <x v="1"/>
    <x v="10"/>
    <x v="13"/>
    <x v="44"/>
    <s v="SI"/>
  </r>
  <r>
    <d v="2018-08-14T00:00:00"/>
    <x v="6"/>
    <x v="2"/>
    <x v="1"/>
    <x v="5"/>
    <x v="12"/>
    <x v="0"/>
    <x v="10"/>
    <x v="7"/>
    <x v="78"/>
    <s v="SI"/>
  </r>
  <r>
    <d v="2018-08-14T00:00:00"/>
    <x v="15"/>
    <x v="1"/>
    <x v="0"/>
    <x v="0"/>
    <x v="0"/>
    <x v="0"/>
    <x v="34"/>
    <x v="5"/>
    <x v="79"/>
    <s v="SI"/>
  </r>
  <r>
    <d v="2018-08-14T00:00:00"/>
    <x v="7"/>
    <x v="2"/>
    <x v="1"/>
    <x v="2"/>
    <x v="9"/>
    <x v="1"/>
    <x v="28"/>
    <x v="11"/>
    <x v="80"/>
    <s v="SI"/>
  </r>
  <r>
    <d v="2018-08-14T00:00:00"/>
    <x v="14"/>
    <x v="4"/>
    <x v="0"/>
    <x v="3"/>
    <x v="10"/>
    <x v="1"/>
    <x v="35"/>
    <x v="12"/>
    <x v="81"/>
    <s v="SI"/>
  </r>
  <r>
    <d v="2018-08-14T00:00:00"/>
    <x v="7"/>
    <x v="3"/>
    <x v="1"/>
    <x v="5"/>
    <x v="8"/>
    <x v="1"/>
    <x v="11"/>
    <x v="0"/>
    <x v="82"/>
    <s v="SI"/>
  </r>
  <r>
    <d v="2018-08-14T00:00:00"/>
    <x v="7"/>
    <x v="3"/>
    <x v="1"/>
    <x v="1"/>
    <x v="13"/>
    <x v="1"/>
    <x v="12"/>
    <x v="9"/>
    <x v="83"/>
    <s v="SI"/>
  </r>
  <r>
    <d v="2018-08-14T00:00:00"/>
    <x v="7"/>
    <x v="4"/>
    <x v="1"/>
    <x v="1"/>
    <x v="13"/>
    <x v="0"/>
    <x v="12"/>
    <x v="9"/>
    <x v="83"/>
    <s v="SI"/>
  </r>
  <r>
    <d v="2018-08-14T00:00:00"/>
    <x v="8"/>
    <x v="1"/>
    <x v="2"/>
    <x v="1"/>
    <x v="4"/>
    <x v="1"/>
    <x v="13"/>
    <x v="10"/>
    <x v="84"/>
    <s v="SI"/>
  </r>
  <r>
    <d v="2018-08-14T00:00:00"/>
    <x v="10"/>
    <x v="3"/>
    <x v="4"/>
    <x v="3"/>
    <x v="10"/>
    <x v="1"/>
    <x v="15"/>
    <x v="7"/>
    <x v="85"/>
    <s v="SI"/>
  </r>
  <r>
    <d v="2018-08-14T00:00:00"/>
    <x v="12"/>
    <x v="1"/>
    <x v="2"/>
    <x v="2"/>
    <x v="9"/>
    <x v="1"/>
    <x v="18"/>
    <x v="7"/>
    <x v="86"/>
    <s v="SI"/>
  </r>
  <r>
    <d v="2018-08-14T00:00:00"/>
    <x v="12"/>
    <x v="5"/>
    <x v="2"/>
    <x v="5"/>
    <x v="8"/>
    <x v="1"/>
    <x v="18"/>
    <x v="6"/>
    <x v="87"/>
    <s v="SI"/>
  </r>
  <r>
    <d v="2018-08-14T00:00:00"/>
    <x v="12"/>
    <x v="8"/>
    <x v="2"/>
    <x v="5"/>
    <x v="8"/>
    <x v="0"/>
    <x v="18"/>
    <x v="7"/>
    <x v="86"/>
    <s v="SI"/>
  </r>
  <r>
    <d v="2018-08-14T00:00:00"/>
    <x v="12"/>
    <x v="0"/>
    <x v="2"/>
    <x v="3"/>
    <x v="3"/>
    <x v="0"/>
    <x v="20"/>
    <x v="7"/>
    <x v="88"/>
    <s v="SI"/>
  </r>
  <r>
    <d v="2018-08-14T00:00:00"/>
    <x v="12"/>
    <x v="3"/>
    <x v="2"/>
    <x v="0"/>
    <x v="0"/>
    <x v="1"/>
    <x v="20"/>
    <x v="2"/>
    <x v="89"/>
    <s v="SI"/>
  </r>
  <r>
    <d v="2018-08-14T00:00:00"/>
    <x v="18"/>
    <x v="3"/>
    <x v="4"/>
    <x v="1"/>
    <x v="1"/>
    <x v="1"/>
    <x v="31"/>
    <x v="12"/>
    <x v="90"/>
    <s v="SI"/>
  </r>
  <r>
    <d v="2018-08-14T00:00:00"/>
    <x v="18"/>
    <x v="3"/>
    <x v="4"/>
    <x v="4"/>
    <x v="5"/>
    <x v="0"/>
    <x v="31"/>
    <x v="3"/>
    <x v="91"/>
    <s v="SI"/>
  </r>
  <r>
    <d v="2018-08-15T00:00:00"/>
    <x v="0"/>
    <x v="3"/>
    <x v="0"/>
    <x v="1"/>
    <x v="13"/>
    <x v="1"/>
    <x v="36"/>
    <x v="19"/>
    <x v="92"/>
    <s v="SI"/>
  </r>
  <r>
    <d v="2018-08-15T00:00:00"/>
    <x v="0"/>
    <x v="3"/>
    <x v="0"/>
    <x v="5"/>
    <x v="8"/>
    <x v="1"/>
    <x v="36"/>
    <x v="3"/>
    <x v="93"/>
    <s v="SI"/>
  </r>
  <r>
    <d v="2018-08-15T00:00:00"/>
    <x v="0"/>
    <x v="3"/>
    <x v="0"/>
    <x v="2"/>
    <x v="2"/>
    <x v="1"/>
    <x v="0"/>
    <x v="4"/>
    <x v="94"/>
    <s v="SI"/>
  </r>
  <r>
    <d v="2018-08-15T00:00:00"/>
    <x v="1"/>
    <x v="7"/>
    <x v="0"/>
    <x v="4"/>
    <x v="15"/>
    <x v="0"/>
    <x v="1"/>
    <x v="6"/>
    <x v="95"/>
    <s v="SI"/>
  </r>
  <r>
    <d v="2018-08-15T00:00:00"/>
    <x v="1"/>
    <x v="3"/>
    <x v="0"/>
    <x v="0"/>
    <x v="0"/>
    <x v="0"/>
    <x v="1"/>
    <x v="2"/>
    <x v="2"/>
    <s v="SI"/>
  </r>
  <r>
    <d v="2018-08-15T00:00:00"/>
    <x v="1"/>
    <x v="3"/>
    <x v="0"/>
    <x v="5"/>
    <x v="8"/>
    <x v="0"/>
    <x v="1"/>
    <x v="20"/>
    <x v="96"/>
    <s v="SI"/>
  </r>
  <r>
    <d v="2018-08-15T00:00:00"/>
    <x v="2"/>
    <x v="0"/>
    <x v="0"/>
    <x v="1"/>
    <x v="13"/>
    <x v="0"/>
    <x v="2"/>
    <x v="12"/>
    <x v="97"/>
    <s v="SI"/>
  </r>
  <r>
    <d v="2018-08-15T00:00:00"/>
    <x v="2"/>
    <x v="3"/>
    <x v="0"/>
    <x v="3"/>
    <x v="3"/>
    <x v="0"/>
    <x v="2"/>
    <x v="10"/>
    <x v="98"/>
    <s v="SI"/>
  </r>
  <r>
    <d v="2018-08-15T00:00:00"/>
    <x v="1"/>
    <x v="2"/>
    <x v="0"/>
    <x v="3"/>
    <x v="3"/>
    <x v="1"/>
    <x v="3"/>
    <x v="8"/>
    <x v="99"/>
    <s v="SI"/>
  </r>
  <r>
    <d v="2018-08-15T00:00:00"/>
    <x v="1"/>
    <x v="1"/>
    <x v="0"/>
    <x v="3"/>
    <x v="3"/>
    <x v="1"/>
    <x v="32"/>
    <x v="11"/>
    <x v="100"/>
    <s v="SI"/>
  </r>
  <r>
    <d v="2018-08-15T00:00:00"/>
    <x v="1"/>
    <x v="4"/>
    <x v="0"/>
    <x v="5"/>
    <x v="7"/>
    <x v="0"/>
    <x v="32"/>
    <x v="0"/>
    <x v="68"/>
    <s v="SI"/>
  </r>
  <r>
    <d v="2018-08-15T00:00:00"/>
    <x v="4"/>
    <x v="1"/>
    <x v="0"/>
    <x v="3"/>
    <x v="3"/>
    <x v="1"/>
    <x v="6"/>
    <x v="12"/>
    <x v="101"/>
    <s v="SI"/>
  </r>
  <r>
    <d v="2018-08-15T00:00:00"/>
    <x v="4"/>
    <x v="1"/>
    <x v="0"/>
    <x v="0"/>
    <x v="0"/>
    <x v="0"/>
    <x v="6"/>
    <x v="9"/>
    <x v="102"/>
    <s v="SI"/>
  </r>
  <r>
    <d v="2018-08-15T00:00:00"/>
    <x v="14"/>
    <x v="1"/>
    <x v="0"/>
    <x v="3"/>
    <x v="10"/>
    <x v="0"/>
    <x v="23"/>
    <x v="4"/>
    <x v="103"/>
    <s v="SI"/>
  </r>
  <r>
    <d v="2018-08-15T00:00:00"/>
    <x v="5"/>
    <x v="2"/>
    <x v="1"/>
    <x v="3"/>
    <x v="3"/>
    <x v="1"/>
    <x v="8"/>
    <x v="7"/>
    <x v="104"/>
    <s v="SI"/>
  </r>
  <r>
    <d v="2018-08-15T00:00:00"/>
    <x v="15"/>
    <x v="3"/>
    <x v="0"/>
    <x v="0"/>
    <x v="11"/>
    <x v="1"/>
    <x v="24"/>
    <x v="7"/>
    <x v="105"/>
    <s v="SI"/>
  </r>
  <r>
    <d v="2018-08-15T00:00:00"/>
    <x v="5"/>
    <x v="2"/>
    <x v="1"/>
    <x v="4"/>
    <x v="6"/>
    <x v="0"/>
    <x v="9"/>
    <x v="5"/>
    <x v="106"/>
    <s v="SI"/>
  </r>
  <r>
    <d v="2018-08-15T00:00:00"/>
    <x v="19"/>
    <x v="3"/>
    <x v="5"/>
    <x v="1"/>
    <x v="13"/>
    <x v="1"/>
    <x v="37"/>
    <x v="12"/>
    <x v="107"/>
    <s v="SI"/>
  </r>
  <r>
    <d v="2018-08-15T00:00:00"/>
    <x v="19"/>
    <x v="6"/>
    <x v="5"/>
    <x v="1"/>
    <x v="4"/>
    <x v="0"/>
    <x v="37"/>
    <x v="12"/>
    <x v="107"/>
    <s v="SI"/>
  </r>
  <r>
    <d v="2018-08-15T00:00:00"/>
    <x v="19"/>
    <x v="1"/>
    <x v="5"/>
    <x v="0"/>
    <x v="0"/>
    <x v="0"/>
    <x v="37"/>
    <x v="5"/>
    <x v="108"/>
    <s v="SI"/>
  </r>
  <r>
    <d v="2018-08-15T00:00:00"/>
    <x v="20"/>
    <x v="0"/>
    <x v="1"/>
    <x v="4"/>
    <x v="6"/>
    <x v="0"/>
    <x v="27"/>
    <x v="0"/>
    <x v="109"/>
    <s v="SI"/>
  </r>
  <r>
    <d v="2018-08-15T00:00:00"/>
    <x v="16"/>
    <x v="1"/>
    <x v="0"/>
    <x v="5"/>
    <x v="7"/>
    <x v="0"/>
    <x v="27"/>
    <x v="0"/>
    <x v="109"/>
    <s v="SI"/>
  </r>
  <r>
    <d v="2018-08-15T00:00:00"/>
    <x v="7"/>
    <x v="5"/>
    <x v="1"/>
    <x v="3"/>
    <x v="3"/>
    <x v="0"/>
    <x v="29"/>
    <x v="7"/>
    <x v="110"/>
    <s v="SI"/>
  </r>
  <r>
    <d v="2018-08-15T00:00:00"/>
    <x v="7"/>
    <x v="3"/>
    <x v="1"/>
    <x v="2"/>
    <x v="16"/>
    <x v="1"/>
    <x v="11"/>
    <x v="11"/>
    <x v="20"/>
    <s v="SI"/>
  </r>
  <r>
    <d v="2018-08-15T00:00:00"/>
    <x v="7"/>
    <x v="7"/>
    <x v="1"/>
    <x v="0"/>
    <x v="14"/>
    <x v="1"/>
    <x v="11"/>
    <x v="12"/>
    <x v="111"/>
    <s v="SI"/>
  </r>
  <r>
    <d v="2018-08-15T00:00:00"/>
    <x v="7"/>
    <x v="10"/>
    <x v="1"/>
    <x v="2"/>
    <x v="16"/>
    <x v="1"/>
    <x v="12"/>
    <x v="11"/>
    <x v="112"/>
    <s v="SI"/>
  </r>
  <r>
    <d v="2018-08-15T00:00:00"/>
    <x v="8"/>
    <x v="2"/>
    <x v="2"/>
    <x v="5"/>
    <x v="8"/>
    <x v="0"/>
    <x v="13"/>
    <x v="6"/>
    <x v="113"/>
    <s v="SI"/>
  </r>
  <r>
    <d v="2018-08-15T00:00:00"/>
    <x v="10"/>
    <x v="3"/>
    <x v="4"/>
    <x v="1"/>
    <x v="4"/>
    <x v="1"/>
    <x v="15"/>
    <x v="7"/>
    <x v="85"/>
    <s v="SI"/>
  </r>
  <r>
    <d v="2018-08-15T00:00:00"/>
    <x v="12"/>
    <x v="3"/>
    <x v="2"/>
    <x v="4"/>
    <x v="5"/>
    <x v="1"/>
    <x v="18"/>
    <x v="0"/>
    <x v="114"/>
    <s v="SI"/>
  </r>
  <r>
    <d v="2018-08-15T00:00:00"/>
    <x v="12"/>
    <x v="3"/>
    <x v="2"/>
    <x v="4"/>
    <x v="5"/>
    <x v="0"/>
    <x v="18"/>
    <x v="2"/>
    <x v="30"/>
    <s v="SI"/>
  </r>
  <r>
    <d v="2018-08-15T00:00:00"/>
    <x v="11"/>
    <x v="1"/>
    <x v="2"/>
    <x v="4"/>
    <x v="15"/>
    <x v="0"/>
    <x v="18"/>
    <x v="7"/>
    <x v="86"/>
    <s v="SI"/>
  </r>
  <r>
    <d v="2018-08-15T00:00:00"/>
    <x v="13"/>
    <x v="2"/>
    <x v="4"/>
    <x v="4"/>
    <x v="15"/>
    <x v="1"/>
    <x v="19"/>
    <x v="16"/>
    <x v="59"/>
    <s v="SI"/>
  </r>
  <r>
    <d v="2018-08-15T00:00:00"/>
    <x v="12"/>
    <x v="5"/>
    <x v="2"/>
    <x v="0"/>
    <x v="0"/>
    <x v="0"/>
    <x v="20"/>
    <x v="10"/>
    <x v="115"/>
    <s v="SI"/>
  </r>
  <r>
    <d v="2018-08-15T00:00:00"/>
    <x v="12"/>
    <x v="2"/>
    <x v="2"/>
    <x v="5"/>
    <x v="12"/>
    <x v="0"/>
    <x v="20"/>
    <x v="9"/>
    <x v="116"/>
    <s v="SI"/>
  </r>
  <r>
    <d v="2018-08-15T00:00:00"/>
    <x v="18"/>
    <x v="3"/>
    <x v="4"/>
    <x v="2"/>
    <x v="9"/>
    <x v="1"/>
    <x v="31"/>
    <x v="4"/>
    <x v="117"/>
    <s v="SI"/>
  </r>
  <r>
    <d v="2018-08-16T00:00:00"/>
    <x v="0"/>
    <x v="1"/>
    <x v="0"/>
    <x v="1"/>
    <x v="13"/>
    <x v="1"/>
    <x v="0"/>
    <x v="9"/>
    <x v="34"/>
    <s v="SI"/>
  </r>
  <r>
    <d v="2018-08-16T00:00:00"/>
    <x v="0"/>
    <x v="3"/>
    <x v="0"/>
    <x v="4"/>
    <x v="5"/>
    <x v="1"/>
    <x v="0"/>
    <x v="7"/>
    <x v="118"/>
    <s v="SI"/>
  </r>
  <r>
    <d v="2018-08-16T00:00:00"/>
    <x v="0"/>
    <x v="3"/>
    <x v="0"/>
    <x v="2"/>
    <x v="2"/>
    <x v="0"/>
    <x v="21"/>
    <x v="9"/>
    <x v="119"/>
    <s v="SI"/>
  </r>
  <r>
    <d v="2018-08-16T00:00:00"/>
    <x v="1"/>
    <x v="3"/>
    <x v="0"/>
    <x v="3"/>
    <x v="10"/>
    <x v="1"/>
    <x v="1"/>
    <x v="11"/>
    <x v="120"/>
    <s v="SI"/>
  </r>
  <r>
    <d v="2018-08-16T00:00:00"/>
    <x v="2"/>
    <x v="1"/>
    <x v="0"/>
    <x v="2"/>
    <x v="9"/>
    <x v="1"/>
    <x v="2"/>
    <x v="10"/>
    <x v="98"/>
    <s v="SI"/>
  </r>
  <r>
    <d v="2018-08-16T00:00:00"/>
    <x v="1"/>
    <x v="3"/>
    <x v="0"/>
    <x v="1"/>
    <x v="4"/>
    <x v="0"/>
    <x v="3"/>
    <x v="12"/>
    <x v="121"/>
    <s v="SI"/>
  </r>
  <r>
    <d v="2018-08-16T00:00:00"/>
    <x v="1"/>
    <x v="2"/>
    <x v="0"/>
    <x v="5"/>
    <x v="12"/>
    <x v="1"/>
    <x v="3"/>
    <x v="4"/>
    <x v="4"/>
    <s v="SI"/>
  </r>
  <r>
    <d v="2018-08-16T00:00:00"/>
    <x v="1"/>
    <x v="2"/>
    <x v="0"/>
    <x v="1"/>
    <x v="13"/>
    <x v="1"/>
    <x v="32"/>
    <x v="7"/>
    <x v="67"/>
    <s v="SI"/>
  </r>
  <r>
    <d v="2018-08-16T00:00:00"/>
    <x v="1"/>
    <x v="2"/>
    <x v="0"/>
    <x v="4"/>
    <x v="15"/>
    <x v="0"/>
    <x v="32"/>
    <x v="6"/>
    <x v="122"/>
    <s v="SI"/>
  </r>
  <r>
    <d v="2018-08-16T00:00:00"/>
    <x v="4"/>
    <x v="0"/>
    <x v="0"/>
    <x v="4"/>
    <x v="6"/>
    <x v="1"/>
    <x v="6"/>
    <x v="3"/>
    <x v="123"/>
    <s v="SI"/>
  </r>
  <r>
    <d v="2018-08-16T00:00:00"/>
    <x v="4"/>
    <x v="2"/>
    <x v="0"/>
    <x v="3"/>
    <x v="10"/>
    <x v="1"/>
    <x v="6"/>
    <x v="9"/>
    <x v="102"/>
    <s v="SI"/>
  </r>
  <r>
    <d v="2018-08-16T00:00:00"/>
    <x v="4"/>
    <x v="4"/>
    <x v="0"/>
    <x v="2"/>
    <x v="16"/>
    <x v="1"/>
    <x v="6"/>
    <x v="10"/>
    <x v="124"/>
    <s v="SI"/>
  </r>
  <r>
    <d v="2018-08-16T00:00:00"/>
    <x v="5"/>
    <x v="2"/>
    <x v="1"/>
    <x v="0"/>
    <x v="14"/>
    <x v="1"/>
    <x v="38"/>
    <x v="5"/>
    <x v="125"/>
    <s v="SI"/>
  </r>
  <r>
    <d v="2018-08-16T00:00:00"/>
    <x v="6"/>
    <x v="2"/>
    <x v="1"/>
    <x v="3"/>
    <x v="3"/>
    <x v="0"/>
    <x v="10"/>
    <x v="4"/>
    <x v="17"/>
    <s v="SI"/>
  </r>
  <r>
    <d v="2018-08-16T00:00:00"/>
    <x v="6"/>
    <x v="2"/>
    <x v="1"/>
    <x v="0"/>
    <x v="11"/>
    <x v="0"/>
    <x v="10"/>
    <x v="3"/>
    <x v="45"/>
    <s v="SI"/>
  </r>
  <r>
    <d v="2018-08-16T00:00:00"/>
    <x v="5"/>
    <x v="2"/>
    <x v="1"/>
    <x v="5"/>
    <x v="8"/>
    <x v="1"/>
    <x v="10"/>
    <x v="21"/>
    <x v="126"/>
    <s v="SI"/>
  </r>
  <r>
    <d v="2018-08-16T00:00:00"/>
    <x v="16"/>
    <x v="3"/>
    <x v="0"/>
    <x v="3"/>
    <x v="10"/>
    <x v="1"/>
    <x v="27"/>
    <x v="9"/>
    <x v="127"/>
    <s v="SI"/>
  </r>
  <r>
    <d v="2018-08-16T00:00:00"/>
    <x v="2"/>
    <x v="1"/>
    <x v="0"/>
    <x v="1"/>
    <x v="13"/>
    <x v="0"/>
    <x v="39"/>
    <x v="10"/>
    <x v="128"/>
    <s v="SI"/>
  </r>
  <r>
    <d v="2018-08-16T00:00:00"/>
    <x v="2"/>
    <x v="0"/>
    <x v="0"/>
    <x v="4"/>
    <x v="6"/>
    <x v="1"/>
    <x v="39"/>
    <x v="2"/>
    <x v="129"/>
    <s v="SI"/>
  </r>
  <r>
    <d v="2018-08-16T00:00:00"/>
    <x v="7"/>
    <x v="2"/>
    <x v="1"/>
    <x v="1"/>
    <x v="13"/>
    <x v="0"/>
    <x v="28"/>
    <x v="12"/>
    <x v="130"/>
    <s v="SI"/>
  </r>
  <r>
    <d v="2018-08-16T00:00:00"/>
    <x v="7"/>
    <x v="3"/>
    <x v="1"/>
    <x v="2"/>
    <x v="16"/>
    <x v="1"/>
    <x v="28"/>
    <x v="4"/>
    <x v="131"/>
    <s v="SI"/>
  </r>
  <r>
    <d v="2018-08-16T00:00:00"/>
    <x v="7"/>
    <x v="2"/>
    <x v="1"/>
    <x v="4"/>
    <x v="5"/>
    <x v="1"/>
    <x v="29"/>
    <x v="9"/>
    <x v="132"/>
    <s v="SI"/>
  </r>
  <r>
    <d v="2018-08-16T00:00:00"/>
    <x v="14"/>
    <x v="0"/>
    <x v="0"/>
    <x v="3"/>
    <x v="10"/>
    <x v="0"/>
    <x v="35"/>
    <x v="9"/>
    <x v="133"/>
    <s v="SI"/>
  </r>
  <r>
    <d v="2018-08-16T00:00:00"/>
    <x v="14"/>
    <x v="5"/>
    <x v="0"/>
    <x v="0"/>
    <x v="14"/>
    <x v="1"/>
    <x v="35"/>
    <x v="0"/>
    <x v="134"/>
    <s v="SI"/>
  </r>
  <r>
    <d v="2018-08-16T00:00:00"/>
    <x v="7"/>
    <x v="2"/>
    <x v="1"/>
    <x v="3"/>
    <x v="3"/>
    <x v="1"/>
    <x v="11"/>
    <x v="7"/>
    <x v="135"/>
    <s v="SI"/>
  </r>
  <r>
    <d v="2018-08-16T00:00:00"/>
    <x v="7"/>
    <x v="7"/>
    <x v="1"/>
    <x v="3"/>
    <x v="3"/>
    <x v="1"/>
    <x v="11"/>
    <x v="9"/>
    <x v="21"/>
    <s v="SI"/>
  </r>
  <r>
    <d v="2018-08-16T00:00:00"/>
    <x v="7"/>
    <x v="8"/>
    <x v="1"/>
    <x v="2"/>
    <x v="2"/>
    <x v="1"/>
    <x v="11"/>
    <x v="2"/>
    <x v="136"/>
    <s v="SI"/>
  </r>
  <r>
    <d v="2018-08-16T00:00:00"/>
    <x v="7"/>
    <x v="7"/>
    <x v="1"/>
    <x v="4"/>
    <x v="5"/>
    <x v="0"/>
    <x v="12"/>
    <x v="5"/>
    <x v="137"/>
    <s v="SI"/>
  </r>
  <r>
    <d v="2018-08-16T00:00:00"/>
    <x v="7"/>
    <x v="10"/>
    <x v="1"/>
    <x v="5"/>
    <x v="7"/>
    <x v="0"/>
    <x v="12"/>
    <x v="9"/>
    <x v="83"/>
    <s v="SI"/>
  </r>
  <r>
    <d v="2018-08-16T00:00:00"/>
    <x v="8"/>
    <x v="2"/>
    <x v="2"/>
    <x v="3"/>
    <x v="3"/>
    <x v="0"/>
    <x v="13"/>
    <x v="7"/>
    <x v="138"/>
    <s v="SI"/>
  </r>
  <r>
    <d v="2018-08-16T00:00:00"/>
    <x v="8"/>
    <x v="2"/>
    <x v="2"/>
    <x v="2"/>
    <x v="2"/>
    <x v="1"/>
    <x v="13"/>
    <x v="9"/>
    <x v="139"/>
    <s v="SI"/>
  </r>
  <r>
    <d v="2018-08-16T00:00:00"/>
    <x v="17"/>
    <x v="5"/>
    <x v="2"/>
    <x v="1"/>
    <x v="4"/>
    <x v="1"/>
    <x v="30"/>
    <x v="12"/>
    <x v="140"/>
    <s v="SI"/>
  </r>
  <r>
    <d v="2018-08-16T00:00:00"/>
    <x v="10"/>
    <x v="3"/>
    <x v="4"/>
    <x v="5"/>
    <x v="7"/>
    <x v="1"/>
    <x v="15"/>
    <x v="3"/>
    <x v="26"/>
    <s v="SI"/>
  </r>
  <r>
    <d v="2018-08-16T00:00:00"/>
    <x v="9"/>
    <x v="2"/>
    <x v="3"/>
    <x v="1"/>
    <x v="4"/>
    <x v="0"/>
    <x v="17"/>
    <x v="5"/>
    <x v="141"/>
    <s v="SI"/>
  </r>
  <r>
    <d v="2018-08-16T00:00:00"/>
    <x v="9"/>
    <x v="2"/>
    <x v="3"/>
    <x v="3"/>
    <x v="3"/>
    <x v="0"/>
    <x v="17"/>
    <x v="10"/>
    <x v="142"/>
    <s v="SI"/>
  </r>
  <r>
    <d v="2018-08-16T00:00:00"/>
    <x v="12"/>
    <x v="7"/>
    <x v="2"/>
    <x v="0"/>
    <x v="14"/>
    <x v="0"/>
    <x v="18"/>
    <x v="9"/>
    <x v="143"/>
    <s v="SI"/>
  </r>
  <r>
    <d v="2018-08-16T00:00:00"/>
    <x v="11"/>
    <x v="3"/>
    <x v="2"/>
    <x v="0"/>
    <x v="0"/>
    <x v="0"/>
    <x v="18"/>
    <x v="9"/>
    <x v="143"/>
    <s v="SI"/>
  </r>
  <r>
    <d v="2018-08-16T00:00:00"/>
    <x v="12"/>
    <x v="3"/>
    <x v="2"/>
    <x v="4"/>
    <x v="15"/>
    <x v="1"/>
    <x v="20"/>
    <x v="0"/>
    <x v="144"/>
    <s v="SI"/>
  </r>
  <r>
    <d v="2018-08-17T00:00:00"/>
    <x v="0"/>
    <x v="2"/>
    <x v="0"/>
    <x v="0"/>
    <x v="14"/>
    <x v="0"/>
    <x v="36"/>
    <x v="9"/>
    <x v="145"/>
    <s v="SI"/>
  </r>
  <r>
    <d v="2018-08-17T00:00:00"/>
    <x v="0"/>
    <x v="1"/>
    <x v="0"/>
    <x v="1"/>
    <x v="4"/>
    <x v="1"/>
    <x v="0"/>
    <x v="9"/>
    <x v="34"/>
    <s v="SI"/>
  </r>
  <r>
    <d v="2018-08-17T00:00:00"/>
    <x v="0"/>
    <x v="7"/>
    <x v="0"/>
    <x v="4"/>
    <x v="5"/>
    <x v="1"/>
    <x v="0"/>
    <x v="9"/>
    <x v="34"/>
    <s v="SI"/>
  </r>
  <r>
    <d v="2018-08-17T00:00:00"/>
    <x v="2"/>
    <x v="2"/>
    <x v="0"/>
    <x v="3"/>
    <x v="3"/>
    <x v="1"/>
    <x v="2"/>
    <x v="9"/>
    <x v="146"/>
    <s v="SI"/>
  </r>
  <r>
    <d v="2018-08-17T00:00:00"/>
    <x v="1"/>
    <x v="2"/>
    <x v="0"/>
    <x v="1"/>
    <x v="4"/>
    <x v="1"/>
    <x v="3"/>
    <x v="11"/>
    <x v="147"/>
    <s v="SI"/>
  </r>
  <r>
    <d v="2018-08-17T00:00:00"/>
    <x v="2"/>
    <x v="3"/>
    <x v="0"/>
    <x v="1"/>
    <x v="13"/>
    <x v="1"/>
    <x v="5"/>
    <x v="9"/>
    <x v="148"/>
    <s v="SI"/>
  </r>
  <r>
    <d v="2018-08-17T00:00:00"/>
    <x v="2"/>
    <x v="2"/>
    <x v="0"/>
    <x v="4"/>
    <x v="6"/>
    <x v="1"/>
    <x v="5"/>
    <x v="3"/>
    <x v="9"/>
    <s v="SI"/>
  </r>
  <r>
    <d v="2018-08-17T00:00:00"/>
    <x v="2"/>
    <x v="4"/>
    <x v="0"/>
    <x v="4"/>
    <x v="5"/>
    <x v="0"/>
    <x v="5"/>
    <x v="4"/>
    <x v="40"/>
    <s v="SI"/>
  </r>
  <r>
    <d v="2018-08-17T00:00:00"/>
    <x v="2"/>
    <x v="7"/>
    <x v="0"/>
    <x v="5"/>
    <x v="8"/>
    <x v="1"/>
    <x v="5"/>
    <x v="5"/>
    <x v="8"/>
    <s v="SI"/>
  </r>
  <r>
    <d v="2018-08-17T00:00:00"/>
    <x v="4"/>
    <x v="3"/>
    <x v="0"/>
    <x v="0"/>
    <x v="14"/>
    <x v="1"/>
    <x v="6"/>
    <x v="2"/>
    <x v="149"/>
    <s v="SI"/>
  </r>
  <r>
    <d v="2018-08-17T00:00:00"/>
    <x v="14"/>
    <x v="10"/>
    <x v="0"/>
    <x v="1"/>
    <x v="13"/>
    <x v="0"/>
    <x v="23"/>
    <x v="11"/>
    <x v="150"/>
    <s v="SI"/>
  </r>
  <r>
    <d v="2018-08-17T00:00:00"/>
    <x v="14"/>
    <x v="1"/>
    <x v="0"/>
    <x v="4"/>
    <x v="6"/>
    <x v="0"/>
    <x v="23"/>
    <x v="7"/>
    <x v="151"/>
    <s v="SI"/>
  </r>
  <r>
    <d v="2018-08-17T00:00:00"/>
    <x v="14"/>
    <x v="1"/>
    <x v="0"/>
    <x v="0"/>
    <x v="0"/>
    <x v="0"/>
    <x v="23"/>
    <x v="5"/>
    <x v="152"/>
    <s v="SI"/>
  </r>
  <r>
    <d v="2018-08-17T00:00:00"/>
    <x v="3"/>
    <x v="3"/>
    <x v="0"/>
    <x v="4"/>
    <x v="6"/>
    <x v="1"/>
    <x v="7"/>
    <x v="3"/>
    <x v="11"/>
    <s v="SI"/>
  </r>
  <r>
    <d v="2018-08-17T00:00:00"/>
    <x v="3"/>
    <x v="0"/>
    <x v="0"/>
    <x v="4"/>
    <x v="5"/>
    <x v="1"/>
    <x v="7"/>
    <x v="9"/>
    <x v="153"/>
    <s v="SI"/>
  </r>
  <r>
    <d v="2018-08-17T00:00:00"/>
    <x v="3"/>
    <x v="0"/>
    <x v="0"/>
    <x v="3"/>
    <x v="3"/>
    <x v="0"/>
    <x v="7"/>
    <x v="7"/>
    <x v="12"/>
    <s v="SI"/>
  </r>
  <r>
    <d v="2018-08-17T00:00:00"/>
    <x v="5"/>
    <x v="2"/>
    <x v="1"/>
    <x v="0"/>
    <x v="11"/>
    <x v="0"/>
    <x v="8"/>
    <x v="9"/>
    <x v="73"/>
    <s v="SI"/>
  </r>
  <r>
    <d v="2018-08-17T00:00:00"/>
    <x v="5"/>
    <x v="2"/>
    <x v="1"/>
    <x v="5"/>
    <x v="12"/>
    <x v="0"/>
    <x v="8"/>
    <x v="1"/>
    <x v="154"/>
    <s v="SI"/>
  </r>
  <r>
    <d v="2018-08-17T00:00:00"/>
    <x v="16"/>
    <x v="2"/>
    <x v="0"/>
    <x v="1"/>
    <x v="1"/>
    <x v="0"/>
    <x v="33"/>
    <x v="4"/>
    <x v="155"/>
    <s v="SI"/>
  </r>
  <r>
    <d v="2018-08-17T00:00:00"/>
    <x v="16"/>
    <x v="2"/>
    <x v="0"/>
    <x v="0"/>
    <x v="0"/>
    <x v="1"/>
    <x v="33"/>
    <x v="0"/>
    <x v="156"/>
    <s v="SI"/>
  </r>
  <r>
    <d v="2018-08-17T00:00:00"/>
    <x v="5"/>
    <x v="2"/>
    <x v="1"/>
    <x v="0"/>
    <x v="14"/>
    <x v="1"/>
    <x v="40"/>
    <x v="0"/>
    <x v="157"/>
    <s v="SI"/>
  </r>
  <r>
    <d v="2018-08-17T00:00:00"/>
    <x v="6"/>
    <x v="2"/>
    <x v="1"/>
    <x v="0"/>
    <x v="0"/>
    <x v="0"/>
    <x v="10"/>
    <x v="4"/>
    <x v="17"/>
    <s v="SI"/>
  </r>
  <r>
    <d v="2018-08-17T00:00:00"/>
    <x v="5"/>
    <x v="3"/>
    <x v="1"/>
    <x v="5"/>
    <x v="8"/>
    <x v="1"/>
    <x v="10"/>
    <x v="16"/>
    <x v="158"/>
    <s v="SI"/>
  </r>
  <r>
    <d v="2018-08-17T00:00:00"/>
    <x v="16"/>
    <x v="3"/>
    <x v="0"/>
    <x v="1"/>
    <x v="13"/>
    <x v="0"/>
    <x v="27"/>
    <x v="5"/>
    <x v="159"/>
    <s v="SI"/>
  </r>
  <r>
    <d v="2018-08-17T00:00:00"/>
    <x v="16"/>
    <x v="1"/>
    <x v="0"/>
    <x v="4"/>
    <x v="6"/>
    <x v="0"/>
    <x v="27"/>
    <x v="7"/>
    <x v="160"/>
    <s v="SI"/>
  </r>
  <r>
    <d v="2018-08-17T00:00:00"/>
    <x v="16"/>
    <x v="5"/>
    <x v="0"/>
    <x v="4"/>
    <x v="6"/>
    <x v="0"/>
    <x v="27"/>
    <x v="9"/>
    <x v="127"/>
    <s v="SI"/>
  </r>
  <r>
    <d v="2018-08-17T00:00:00"/>
    <x v="2"/>
    <x v="1"/>
    <x v="0"/>
    <x v="2"/>
    <x v="16"/>
    <x v="0"/>
    <x v="39"/>
    <x v="9"/>
    <x v="161"/>
    <s v="SI"/>
  </r>
  <r>
    <d v="2018-08-17T00:00:00"/>
    <x v="2"/>
    <x v="7"/>
    <x v="0"/>
    <x v="5"/>
    <x v="7"/>
    <x v="0"/>
    <x v="39"/>
    <x v="2"/>
    <x v="129"/>
    <s v="SI"/>
  </r>
  <r>
    <d v="2018-08-17T00:00:00"/>
    <x v="7"/>
    <x v="3"/>
    <x v="1"/>
    <x v="0"/>
    <x v="14"/>
    <x v="1"/>
    <x v="29"/>
    <x v="6"/>
    <x v="162"/>
    <s v="SI"/>
  </r>
  <r>
    <d v="2018-08-17T00:00:00"/>
    <x v="7"/>
    <x v="2"/>
    <x v="1"/>
    <x v="3"/>
    <x v="3"/>
    <x v="1"/>
    <x v="11"/>
    <x v="9"/>
    <x v="21"/>
    <s v="SI"/>
  </r>
  <r>
    <d v="2018-08-17T00:00:00"/>
    <x v="7"/>
    <x v="3"/>
    <x v="1"/>
    <x v="5"/>
    <x v="8"/>
    <x v="0"/>
    <x v="11"/>
    <x v="9"/>
    <x v="21"/>
    <s v="SI"/>
  </r>
  <r>
    <d v="2018-08-17T00:00:00"/>
    <x v="7"/>
    <x v="3"/>
    <x v="1"/>
    <x v="5"/>
    <x v="12"/>
    <x v="0"/>
    <x v="11"/>
    <x v="9"/>
    <x v="21"/>
    <s v="SI"/>
  </r>
  <r>
    <d v="2018-08-17T00:00:00"/>
    <x v="7"/>
    <x v="1"/>
    <x v="1"/>
    <x v="5"/>
    <x v="7"/>
    <x v="1"/>
    <x v="12"/>
    <x v="3"/>
    <x v="23"/>
    <s v="SI"/>
  </r>
  <r>
    <d v="2018-08-17T00:00:00"/>
    <x v="10"/>
    <x v="3"/>
    <x v="4"/>
    <x v="1"/>
    <x v="13"/>
    <x v="1"/>
    <x v="15"/>
    <x v="7"/>
    <x v="85"/>
    <s v="SI"/>
  </r>
  <r>
    <d v="2018-08-17T00:00:00"/>
    <x v="10"/>
    <x v="2"/>
    <x v="4"/>
    <x v="1"/>
    <x v="13"/>
    <x v="1"/>
    <x v="15"/>
    <x v="7"/>
    <x v="85"/>
    <s v="SI"/>
  </r>
  <r>
    <d v="2018-08-17T00:00:00"/>
    <x v="10"/>
    <x v="3"/>
    <x v="4"/>
    <x v="3"/>
    <x v="10"/>
    <x v="1"/>
    <x v="15"/>
    <x v="9"/>
    <x v="54"/>
    <s v="SI"/>
  </r>
  <r>
    <d v="2018-08-17T00:00:00"/>
    <x v="10"/>
    <x v="3"/>
    <x v="4"/>
    <x v="3"/>
    <x v="3"/>
    <x v="1"/>
    <x v="15"/>
    <x v="6"/>
    <x v="163"/>
    <s v="SI"/>
  </r>
  <r>
    <d v="2018-08-17T00:00:00"/>
    <x v="10"/>
    <x v="2"/>
    <x v="4"/>
    <x v="2"/>
    <x v="2"/>
    <x v="0"/>
    <x v="15"/>
    <x v="10"/>
    <x v="164"/>
    <s v="SI"/>
  </r>
  <r>
    <d v="2018-08-17T00:00:00"/>
    <x v="12"/>
    <x v="1"/>
    <x v="2"/>
    <x v="5"/>
    <x v="8"/>
    <x v="0"/>
    <x v="18"/>
    <x v="12"/>
    <x v="165"/>
    <s v="SI"/>
  </r>
  <r>
    <d v="2018-08-17T00:00:00"/>
    <x v="21"/>
    <x v="2"/>
    <x v="4"/>
    <x v="1"/>
    <x v="4"/>
    <x v="1"/>
    <x v="19"/>
    <x v="18"/>
    <x v="166"/>
    <s v="SI"/>
  </r>
  <r>
    <d v="2018-08-17T00:00:00"/>
    <x v="12"/>
    <x v="0"/>
    <x v="2"/>
    <x v="4"/>
    <x v="15"/>
    <x v="0"/>
    <x v="20"/>
    <x v="10"/>
    <x v="115"/>
    <s v="SI"/>
  </r>
  <r>
    <d v="2018-08-17T00:00:00"/>
    <x v="18"/>
    <x v="7"/>
    <x v="4"/>
    <x v="5"/>
    <x v="8"/>
    <x v="1"/>
    <x v="31"/>
    <x v="4"/>
    <x v="117"/>
    <s v="SI"/>
  </r>
  <r>
    <d v="2018-08-17T00:00:00"/>
    <x v="22"/>
    <x v="1"/>
    <x v="4"/>
    <x v="2"/>
    <x v="16"/>
    <x v="1"/>
    <x v="41"/>
    <x v="9"/>
    <x v="167"/>
    <s v="SI"/>
  </r>
  <r>
    <d v="2018-08-18T00:00:00"/>
    <x v="0"/>
    <x v="5"/>
    <x v="0"/>
    <x v="2"/>
    <x v="9"/>
    <x v="0"/>
    <x v="36"/>
    <x v="7"/>
    <x v="168"/>
    <s v="SI"/>
  </r>
  <r>
    <d v="2018-08-18T00:00:00"/>
    <x v="0"/>
    <x v="2"/>
    <x v="0"/>
    <x v="2"/>
    <x v="2"/>
    <x v="1"/>
    <x v="0"/>
    <x v="12"/>
    <x v="169"/>
    <s v="SI"/>
  </r>
  <r>
    <d v="2018-08-18T00:00:00"/>
    <x v="0"/>
    <x v="6"/>
    <x v="0"/>
    <x v="2"/>
    <x v="2"/>
    <x v="0"/>
    <x v="21"/>
    <x v="0"/>
    <x v="170"/>
    <s v="SI"/>
  </r>
  <r>
    <d v="2018-08-18T00:00:00"/>
    <x v="1"/>
    <x v="3"/>
    <x v="0"/>
    <x v="4"/>
    <x v="15"/>
    <x v="0"/>
    <x v="1"/>
    <x v="4"/>
    <x v="171"/>
    <s v="SI"/>
  </r>
  <r>
    <d v="2018-08-18T00:00:00"/>
    <x v="1"/>
    <x v="8"/>
    <x v="0"/>
    <x v="3"/>
    <x v="3"/>
    <x v="1"/>
    <x v="1"/>
    <x v="2"/>
    <x v="2"/>
    <s v="SI"/>
  </r>
  <r>
    <d v="2018-08-18T00:00:00"/>
    <x v="2"/>
    <x v="7"/>
    <x v="0"/>
    <x v="0"/>
    <x v="14"/>
    <x v="0"/>
    <x v="2"/>
    <x v="9"/>
    <x v="146"/>
    <s v="SI"/>
  </r>
  <r>
    <d v="2018-08-18T00:00:00"/>
    <x v="1"/>
    <x v="3"/>
    <x v="0"/>
    <x v="3"/>
    <x v="3"/>
    <x v="1"/>
    <x v="3"/>
    <x v="9"/>
    <x v="172"/>
    <s v="SI"/>
  </r>
  <r>
    <d v="2018-08-18T00:00:00"/>
    <x v="1"/>
    <x v="3"/>
    <x v="0"/>
    <x v="2"/>
    <x v="16"/>
    <x v="1"/>
    <x v="32"/>
    <x v="9"/>
    <x v="173"/>
    <s v="SI"/>
  </r>
  <r>
    <d v="2018-08-18T00:00:00"/>
    <x v="1"/>
    <x v="8"/>
    <x v="0"/>
    <x v="2"/>
    <x v="2"/>
    <x v="1"/>
    <x v="32"/>
    <x v="16"/>
    <x v="174"/>
    <s v="SI"/>
  </r>
  <r>
    <d v="2018-08-18T00:00:00"/>
    <x v="1"/>
    <x v="7"/>
    <x v="0"/>
    <x v="0"/>
    <x v="14"/>
    <x v="0"/>
    <x v="32"/>
    <x v="6"/>
    <x v="122"/>
    <s v="SI"/>
  </r>
  <r>
    <d v="2018-08-18T00:00:00"/>
    <x v="3"/>
    <x v="4"/>
    <x v="0"/>
    <x v="4"/>
    <x v="5"/>
    <x v="1"/>
    <x v="4"/>
    <x v="3"/>
    <x v="175"/>
    <s v="SI"/>
  </r>
  <r>
    <d v="2018-08-18T00:00:00"/>
    <x v="2"/>
    <x v="4"/>
    <x v="0"/>
    <x v="2"/>
    <x v="9"/>
    <x v="1"/>
    <x v="5"/>
    <x v="12"/>
    <x v="176"/>
    <s v="SI"/>
  </r>
  <r>
    <d v="2018-08-18T00:00:00"/>
    <x v="4"/>
    <x v="7"/>
    <x v="0"/>
    <x v="4"/>
    <x v="5"/>
    <x v="1"/>
    <x v="6"/>
    <x v="9"/>
    <x v="102"/>
    <s v="SI"/>
  </r>
  <r>
    <d v="2018-08-18T00:00:00"/>
    <x v="4"/>
    <x v="3"/>
    <x v="0"/>
    <x v="5"/>
    <x v="7"/>
    <x v="1"/>
    <x v="6"/>
    <x v="0"/>
    <x v="177"/>
    <s v="SI"/>
  </r>
  <r>
    <d v="2018-08-18T00:00:00"/>
    <x v="16"/>
    <x v="2"/>
    <x v="0"/>
    <x v="2"/>
    <x v="9"/>
    <x v="0"/>
    <x v="33"/>
    <x v="9"/>
    <x v="178"/>
    <s v="SI"/>
  </r>
  <r>
    <d v="2018-08-18T00:00:00"/>
    <x v="15"/>
    <x v="4"/>
    <x v="0"/>
    <x v="5"/>
    <x v="7"/>
    <x v="1"/>
    <x v="24"/>
    <x v="9"/>
    <x v="179"/>
    <s v="SI"/>
  </r>
  <r>
    <d v="2018-08-18T00:00:00"/>
    <x v="5"/>
    <x v="5"/>
    <x v="1"/>
    <x v="5"/>
    <x v="7"/>
    <x v="1"/>
    <x v="25"/>
    <x v="0"/>
    <x v="180"/>
    <s v="SI"/>
  </r>
  <r>
    <d v="2018-08-18T00:00:00"/>
    <x v="5"/>
    <x v="2"/>
    <x v="1"/>
    <x v="3"/>
    <x v="10"/>
    <x v="1"/>
    <x v="40"/>
    <x v="7"/>
    <x v="181"/>
    <s v="SI"/>
  </r>
  <r>
    <d v="2018-08-18T00:00:00"/>
    <x v="5"/>
    <x v="2"/>
    <x v="1"/>
    <x v="2"/>
    <x v="16"/>
    <x v="1"/>
    <x v="38"/>
    <x v="7"/>
    <x v="182"/>
    <s v="SI"/>
  </r>
  <r>
    <d v="2018-08-18T00:00:00"/>
    <x v="6"/>
    <x v="2"/>
    <x v="1"/>
    <x v="4"/>
    <x v="15"/>
    <x v="0"/>
    <x v="10"/>
    <x v="16"/>
    <x v="158"/>
    <s v="SI"/>
  </r>
  <r>
    <d v="2018-08-18T00:00:00"/>
    <x v="6"/>
    <x v="2"/>
    <x v="1"/>
    <x v="3"/>
    <x v="3"/>
    <x v="0"/>
    <x v="10"/>
    <x v="7"/>
    <x v="78"/>
    <s v="SI"/>
  </r>
  <r>
    <d v="2018-08-18T00:00:00"/>
    <x v="5"/>
    <x v="2"/>
    <x v="1"/>
    <x v="2"/>
    <x v="2"/>
    <x v="1"/>
    <x v="10"/>
    <x v="2"/>
    <x v="183"/>
    <s v="SI"/>
  </r>
  <r>
    <d v="2018-08-18T00:00:00"/>
    <x v="6"/>
    <x v="2"/>
    <x v="1"/>
    <x v="0"/>
    <x v="11"/>
    <x v="0"/>
    <x v="10"/>
    <x v="4"/>
    <x v="17"/>
    <s v="SI"/>
  </r>
  <r>
    <d v="2018-08-18T00:00:00"/>
    <x v="5"/>
    <x v="2"/>
    <x v="1"/>
    <x v="5"/>
    <x v="7"/>
    <x v="1"/>
    <x v="10"/>
    <x v="9"/>
    <x v="16"/>
    <s v="SI"/>
  </r>
  <r>
    <d v="2018-08-18T00:00:00"/>
    <x v="15"/>
    <x v="3"/>
    <x v="0"/>
    <x v="2"/>
    <x v="16"/>
    <x v="0"/>
    <x v="34"/>
    <x v="12"/>
    <x v="184"/>
    <s v="SI"/>
  </r>
  <r>
    <d v="2018-08-18T00:00:00"/>
    <x v="16"/>
    <x v="5"/>
    <x v="0"/>
    <x v="0"/>
    <x v="0"/>
    <x v="0"/>
    <x v="27"/>
    <x v="3"/>
    <x v="185"/>
    <s v="SI"/>
  </r>
  <r>
    <d v="2018-08-18T00:00:00"/>
    <x v="14"/>
    <x v="1"/>
    <x v="0"/>
    <x v="1"/>
    <x v="13"/>
    <x v="1"/>
    <x v="35"/>
    <x v="9"/>
    <x v="133"/>
    <s v="SI"/>
  </r>
  <r>
    <d v="2018-08-18T00:00:00"/>
    <x v="7"/>
    <x v="1"/>
    <x v="1"/>
    <x v="3"/>
    <x v="3"/>
    <x v="1"/>
    <x v="11"/>
    <x v="7"/>
    <x v="135"/>
    <s v="SI"/>
  </r>
  <r>
    <d v="2018-08-18T00:00:00"/>
    <x v="7"/>
    <x v="2"/>
    <x v="1"/>
    <x v="2"/>
    <x v="2"/>
    <x v="1"/>
    <x v="11"/>
    <x v="6"/>
    <x v="186"/>
    <s v="SI"/>
  </r>
  <r>
    <d v="2018-08-18T00:00:00"/>
    <x v="7"/>
    <x v="3"/>
    <x v="1"/>
    <x v="5"/>
    <x v="7"/>
    <x v="0"/>
    <x v="11"/>
    <x v="2"/>
    <x v="136"/>
    <s v="SI"/>
  </r>
  <r>
    <d v="2018-08-18T00:00:00"/>
    <x v="7"/>
    <x v="7"/>
    <x v="1"/>
    <x v="0"/>
    <x v="14"/>
    <x v="0"/>
    <x v="12"/>
    <x v="3"/>
    <x v="23"/>
    <s v="SI"/>
  </r>
  <r>
    <d v="2018-08-18T00:00:00"/>
    <x v="9"/>
    <x v="10"/>
    <x v="3"/>
    <x v="4"/>
    <x v="6"/>
    <x v="0"/>
    <x v="14"/>
    <x v="3"/>
    <x v="187"/>
    <s v="SI"/>
  </r>
  <r>
    <d v="2018-08-18T00:00:00"/>
    <x v="17"/>
    <x v="2"/>
    <x v="2"/>
    <x v="0"/>
    <x v="0"/>
    <x v="0"/>
    <x v="30"/>
    <x v="7"/>
    <x v="188"/>
    <s v="SI"/>
  </r>
  <r>
    <d v="2018-08-18T00:00:00"/>
    <x v="10"/>
    <x v="3"/>
    <x v="4"/>
    <x v="2"/>
    <x v="16"/>
    <x v="1"/>
    <x v="15"/>
    <x v="9"/>
    <x v="54"/>
    <s v="SI"/>
  </r>
  <r>
    <d v="2018-08-18T00:00:00"/>
    <x v="10"/>
    <x v="1"/>
    <x v="4"/>
    <x v="4"/>
    <x v="15"/>
    <x v="0"/>
    <x v="16"/>
    <x v="1"/>
    <x v="189"/>
    <s v="SI"/>
  </r>
  <r>
    <d v="2018-08-18T00:00:00"/>
    <x v="10"/>
    <x v="3"/>
    <x v="4"/>
    <x v="5"/>
    <x v="8"/>
    <x v="1"/>
    <x v="16"/>
    <x v="9"/>
    <x v="190"/>
    <s v="SI"/>
  </r>
  <r>
    <d v="2018-08-18T00:00:00"/>
    <x v="12"/>
    <x v="2"/>
    <x v="2"/>
    <x v="4"/>
    <x v="5"/>
    <x v="1"/>
    <x v="18"/>
    <x v="0"/>
    <x v="114"/>
    <s v="SI"/>
  </r>
  <r>
    <d v="2018-08-18T00:00:00"/>
    <x v="12"/>
    <x v="0"/>
    <x v="2"/>
    <x v="2"/>
    <x v="9"/>
    <x v="1"/>
    <x v="18"/>
    <x v="7"/>
    <x v="86"/>
    <s v="SI"/>
  </r>
  <r>
    <d v="2018-08-18T00:00:00"/>
    <x v="11"/>
    <x v="2"/>
    <x v="2"/>
    <x v="0"/>
    <x v="11"/>
    <x v="0"/>
    <x v="18"/>
    <x v="7"/>
    <x v="86"/>
    <s v="SI"/>
  </r>
  <r>
    <d v="2018-08-18T00:00:00"/>
    <x v="12"/>
    <x v="3"/>
    <x v="2"/>
    <x v="5"/>
    <x v="8"/>
    <x v="0"/>
    <x v="20"/>
    <x v="6"/>
    <x v="191"/>
    <s v="SI"/>
  </r>
  <r>
    <d v="2018-08-18T00:00:00"/>
    <x v="18"/>
    <x v="3"/>
    <x v="4"/>
    <x v="1"/>
    <x v="13"/>
    <x v="1"/>
    <x v="31"/>
    <x v="11"/>
    <x v="192"/>
    <s v="SI"/>
  </r>
  <r>
    <d v="2018-08-18T00:00:00"/>
    <x v="18"/>
    <x v="2"/>
    <x v="4"/>
    <x v="5"/>
    <x v="8"/>
    <x v="0"/>
    <x v="31"/>
    <x v="6"/>
    <x v="193"/>
    <s v="SI"/>
  </r>
  <r>
    <d v="2018-08-19T00:00:00"/>
    <x v="0"/>
    <x v="1"/>
    <x v="0"/>
    <x v="3"/>
    <x v="3"/>
    <x v="0"/>
    <x v="36"/>
    <x v="9"/>
    <x v="145"/>
    <s v="SI"/>
  </r>
  <r>
    <d v="2018-08-19T00:00:00"/>
    <x v="0"/>
    <x v="7"/>
    <x v="0"/>
    <x v="5"/>
    <x v="8"/>
    <x v="1"/>
    <x v="21"/>
    <x v="1"/>
    <x v="194"/>
    <s v="SI"/>
  </r>
  <r>
    <d v="2018-08-19T00:00:00"/>
    <x v="2"/>
    <x v="5"/>
    <x v="0"/>
    <x v="1"/>
    <x v="13"/>
    <x v="0"/>
    <x v="2"/>
    <x v="5"/>
    <x v="195"/>
    <s v="SI"/>
  </r>
  <r>
    <d v="2018-08-19T00:00:00"/>
    <x v="2"/>
    <x v="2"/>
    <x v="0"/>
    <x v="1"/>
    <x v="1"/>
    <x v="1"/>
    <x v="2"/>
    <x v="7"/>
    <x v="196"/>
    <s v="SI"/>
  </r>
  <r>
    <d v="2018-08-19T00:00:00"/>
    <x v="2"/>
    <x v="1"/>
    <x v="0"/>
    <x v="2"/>
    <x v="9"/>
    <x v="1"/>
    <x v="2"/>
    <x v="10"/>
    <x v="98"/>
    <s v="SI"/>
  </r>
  <r>
    <d v="2018-08-19T00:00:00"/>
    <x v="2"/>
    <x v="2"/>
    <x v="0"/>
    <x v="2"/>
    <x v="9"/>
    <x v="1"/>
    <x v="2"/>
    <x v="11"/>
    <x v="197"/>
    <s v="SI"/>
  </r>
  <r>
    <d v="2018-08-19T00:00:00"/>
    <x v="1"/>
    <x v="8"/>
    <x v="0"/>
    <x v="2"/>
    <x v="2"/>
    <x v="1"/>
    <x v="32"/>
    <x v="4"/>
    <x v="198"/>
    <s v="SI"/>
  </r>
  <r>
    <d v="2018-08-19T00:00:00"/>
    <x v="1"/>
    <x v="3"/>
    <x v="0"/>
    <x v="0"/>
    <x v="11"/>
    <x v="1"/>
    <x v="32"/>
    <x v="18"/>
    <x v="199"/>
    <s v="SI"/>
  </r>
  <r>
    <d v="2018-08-19T00:00:00"/>
    <x v="3"/>
    <x v="0"/>
    <x v="0"/>
    <x v="2"/>
    <x v="9"/>
    <x v="0"/>
    <x v="4"/>
    <x v="11"/>
    <x v="70"/>
    <s v="SI"/>
  </r>
  <r>
    <d v="2018-08-19T00:00:00"/>
    <x v="2"/>
    <x v="1"/>
    <x v="0"/>
    <x v="0"/>
    <x v="14"/>
    <x v="1"/>
    <x v="5"/>
    <x v="7"/>
    <x v="200"/>
    <s v="SI"/>
  </r>
  <r>
    <d v="2018-08-19T00:00:00"/>
    <x v="2"/>
    <x v="4"/>
    <x v="0"/>
    <x v="0"/>
    <x v="0"/>
    <x v="0"/>
    <x v="5"/>
    <x v="7"/>
    <x v="200"/>
    <s v="SI"/>
  </r>
  <r>
    <d v="2018-08-19T00:00:00"/>
    <x v="4"/>
    <x v="2"/>
    <x v="0"/>
    <x v="3"/>
    <x v="10"/>
    <x v="1"/>
    <x v="6"/>
    <x v="11"/>
    <x v="201"/>
    <s v="SI"/>
  </r>
  <r>
    <d v="2018-08-19T00:00:00"/>
    <x v="4"/>
    <x v="0"/>
    <x v="0"/>
    <x v="3"/>
    <x v="3"/>
    <x v="1"/>
    <x v="6"/>
    <x v="12"/>
    <x v="101"/>
    <s v="SI"/>
  </r>
  <r>
    <d v="2018-08-19T00:00:00"/>
    <x v="3"/>
    <x v="2"/>
    <x v="0"/>
    <x v="3"/>
    <x v="3"/>
    <x v="1"/>
    <x v="7"/>
    <x v="10"/>
    <x v="202"/>
    <s v="SI"/>
  </r>
  <r>
    <d v="2018-08-19T00:00:00"/>
    <x v="5"/>
    <x v="2"/>
    <x v="1"/>
    <x v="1"/>
    <x v="4"/>
    <x v="1"/>
    <x v="8"/>
    <x v="6"/>
    <x v="203"/>
    <s v="SI"/>
  </r>
  <r>
    <d v="2018-08-19T00:00:00"/>
    <x v="15"/>
    <x v="10"/>
    <x v="0"/>
    <x v="3"/>
    <x v="10"/>
    <x v="0"/>
    <x v="24"/>
    <x v="9"/>
    <x v="179"/>
    <s v="SI"/>
  </r>
  <r>
    <d v="2018-08-19T00:00:00"/>
    <x v="15"/>
    <x v="0"/>
    <x v="0"/>
    <x v="3"/>
    <x v="3"/>
    <x v="0"/>
    <x v="24"/>
    <x v="11"/>
    <x v="204"/>
    <s v="SI"/>
  </r>
  <r>
    <d v="2018-08-19T00:00:00"/>
    <x v="6"/>
    <x v="2"/>
    <x v="1"/>
    <x v="2"/>
    <x v="2"/>
    <x v="1"/>
    <x v="10"/>
    <x v="7"/>
    <x v="78"/>
    <s v="SI"/>
  </r>
  <r>
    <d v="2018-08-19T00:00:00"/>
    <x v="6"/>
    <x v="8"/>
    <x v="1"/>
    <x v="5"/>
    <x v="8"/>
    <x v="1"/>
    <x v="10"/>
    <x v="2"/>
    <x v="183"/>
    <s v="SI"/>
  </r>
  <r>
    <d v="2018-08-19T00:00:00"/>
    <x v="19"/>
    <x v="1"/>
    <x v="5"/>
    <x v="3"/>
    <x v="3"/>
    <x v="0"/>
    <x v="37"/>
    <x v="3"/>
    <x v="205"/>
    <s v="SI"/>
  </r>
  <r>
    <d v="2018-08-19T00:00:00"/>
    <x v="7"/>
    <x v="5"/>
    <x v="1"/>
    <x v="5"/>
    <x v="8"/>
    <x v="1"/>
    <x v="28"/>
    <x v="5"/>
    <x v="206"/>
    <s v="SI"/>
  </r>
  <r>
    <d v="2018-08-19T00:00:00"/>
    <x v="14"/>
    <x v="3"/>
    <x v="0"/>
    <x v="1"/>
    <x v="13"/>
    <x v="0"/>
    <x v="35"/>
    <x v="7"/>
    <x v="207"/>
    <s v="SI"/>
  </r>
  <r>
    <d v="2018-08-19T00:00:00"/>
    <x v="14"/>
    <x v="1"/>
    <x v="0"/>
    <x v="5"/>
    <x v="7"/>
    <x v="1"/>
    <x v="35"/>
    <x v="6"/>
    <x v="208"/>
    <s v="SI"/>
  </r>
  <r>
    <d v="2018-08-19T00:00:00"/>
    <x v="7"/>
    <x v="3"/>
    <x v="1"/>
    <x v="2"/>
    <x v="2"/>
    <x v="0"/>
    <x v="11"/>
    <x v="11"/>
    <x v="20"/>
    <s v="SI"/>
  </r>
  <r>
    <d v="2018-08-19T00:00:00"/>
    <x v="7"/>
    <x v="3"/>
    <x v="1"/>
    <x v="5"/>
    <x v="8"/>
    <x v="1"/>
    <x v="11"/>
    <x v="3"/>
    <x v="209"/>
    <s v="SI"/>
  </r>
  <r>
    <d v="2018-08-19T00:00:00"/>
    <x v="7"/>
    <x v="2"/>
    <x v="1"/>
    <x v="5"/>
    <x v="12"/>
    <x v="0"/>
    <x v="11"/>
    <x v="10"/>
    <x v="210"/>
    <s v="SI"/>
  </r>
  <r>
    <d v="2018-08-19T00:00:00"/>
    <x v="7"/>
    <x v="3"/>
    <x v="1"/>
    <x v="0"/>
    <x v="14"/>
    <x v="0"/>
    <x v="12"/>
    <x v="6"/>
    <x v="211"/>
    <s v="SI"/>
  </r>
  <r>
    <d v="2018-08-19T00:00:00"/>
    <x v="7"/>
    <x v="7"/>
    <x v="1"/>
    <x v="0"/>
    <x v="14"/>
    <x v="1"/>
    <x v="12"/>
    <x v="7"/>
    <x v="212"/>
    <s v="SI"/>
  </r>
  <r>
    <d v="2018-08-19T00:00:00"/>
    <x v="9"/>
    <x v="2"/>
    <x v="3"/>
    <x v="0"/>
    <x v="11"/>
    <x v="0"/>
    <x v="14"/>
    <x v="2"/>
    <x v="213"/>
    <s v="SI"/>
  </r>
  <r>
    <d v="2018-08-19T00:00:00"/>
    <x v="10"/>
    <x v="3"/>
    <x v="4"/>
    <x v="1"/>
    <x v="1"/>
    <x v="0"/>
    <x v="16"/>
    <x v="10"/>
    <x v="214"/>
    <s v="SI"/>
  </r>
  <r>
    <d v="2018-08-19T00:00:00"/>
    <x v="12"/>
    <x v="3"/>
    <x v="2"/>
    <x v="4"/>
    <x v="15"/>
    <x v="1"/>
    <x v="18"/>
    <x v="7"/>
    <x v="86"/>
    <s v="SI"/>
  </r>
  <r>
    <d v="2018-08-19T00:00:00"/>
    <x v="12"/>
    <x v="5"/>
    <x v="2"/>
    <x v="4"/>
    <x v="15"/>
    <x v="0"/>
    <x v="18"/>
    <x v="9"/>
    <x v="143"/>
    <s v="SI"/>
  </r>
  <r>
    <d v="2018-08-19T00:00:00"/>
    <x v="11"/>
    <x v="8"/>
    <x v="2"/>
    <x v="3"/>
    <x v="3"/>
    <x v="0"/>
    <x v="18"/>
    <x v="3"/>
    <x v="215"/>
    <s v="SI"/>
  </r>
  <r>
    <d v="2018-08-19T00:00:00"/>
    <x v="13"/>
    <x v="3"/>
    <x v="4"/>
    <x v="3"/>
    <x v="3"/>
    <x v="0"/>
    <x v="19"/>
    <x v="22"/>
    <x v="216"/>
    <s v="SI"/>
  </r>
  <r>
    <d v="2018-08-20T00:00:00"/>
    <x v="0"/>
    <x v="4"/>
    <x v="0"/>
    <x v="2"/>
    <x v="16"/>
    <x v="1"/>
    <x v="36"/>
    <x v="12"/>
    <x v="217"/>
    <s v="SI"/>
  </r>
  <r>
    <d v="2018-08-20T00:00:00"/>
    <x v="0"/>
    <x v="0"/>
    <x v="0"/>
    <x v="3"/>
    <x v="3"/>
    <x v="0"/>
    <x v="0"/>
    <x v="11"/>
    <x v="218"/>
    <s v="SI"/>
  </r>
  <r>
    <d v="2018-08-20T00:00:00"/>
    <x v="0"/>
    <x v="0"/>
    <x v="0"/>
    <x v="0"/>
    <x v="0"/>
    <x v="1"/>
    <x v="0"/>
    <x v="5"/>
    <x v="219"/>
    <s v="SI"/>
  </r>
  <r>
    <d v="2018-08-20T00:00:00"/>
    <x v="0"/>
    <x v="0"/>
    <x v="0"/>
    <x v="0"/>
    <x v="11"/>
    <x v="1"/>
    <x v="21"/>
    <x v="23"/>
    <x v="220"/>
    <s v="SI"/>
  </r>
  <r>
    <d v="2018-08-20T00:00:00"/>
    <x v="1"/>
    <x v="2"/>
    <x v="0"/>
    <x v="1"/>
    <x v="4"/>
    <x v="0"/>
    <x v="1"/>
    <x v="4"/>
    <x v="171"/>
    <s v="SI"/>
  </r>
  <r>
    <d v="2018-08-20T00:00:00"/>
    <x v="1"/>
    <x v="2"/>
    <x v="0"/>
    <x v="2"/>
    <x v="9"/>
    <x v="1"/>
    <x v="1"/>
    <x v="9"/>
    <x v="66"/>
    <s v="SI"/>
  </r>
  <r>
    <d v="2018-08-20T00:00:00"/>
    <x v="3"/>
    <x v="6"/>
    <x v="0"/>
    <x v="1"/>
    <x v="4"/>
    <x v="1"/>
    <x v="42"/>
    <x v="2"/>
    <x v="221"/>
    <s v="SI"/>
  </r>
  <r>
    <d v="2018-08-20T00:00:00"/>
    <x v="2"/>
    <x v="3"/>
    <x v="0"/>
    <x v="3"/>
    <x v="3"/>
    <x v="1"/>
    <x v="2"/>
    <x v="2"/>
    <x v="222"/>
    <s v="SI"/>
  </r>
  <r>
    <d v="2018-08-20T00:00:00"/>
    <x v="1"/>
    <x v="0"/>
    <x v="0"/>
    <x v="1"/>
    <x v="1"/>
    <x v="1"/>
    <x v="32"/>
    <x v="10"/>
    <x v="223"/>
    <s v="SI"/>
  </r>
  <r>
    <d v="2018-08-20T00:00:00"/>
    <x v="1"/>
    <x v="1"/>
    <x v="0"/>
    <x v="5"/>
    <x v="7"/>
    <x v="0"/>
    <x v="32"/>
    <x v="2"/>
    <x v="224"/>
    <s v="SI"/>
  </r>
  <r>
    <d v="2018-08-20T00:00:00"/>
    <x v="1"/>
    <x v="7"/>
    <x v="0"/>
    <x v="5"/>
    <x v="8"/>
    <x v="0"/>
    <x v="32"/>
    <x v="7"/>
    <x v="67"/>
    <s v="SI"/>
  </r>
  <r>
    <d v="2018-08-20T00:00:00"/>
    <x v="3"/>
    <x v="0"/>
    <x v="0"/>
    <x v="5"/>
    <x v="8"/>
    <x v="1"/>
    <x v="4"/>
    <x v="7"/>
    <x v="225"/>
    <s v="SI"/>
  </r>
  <r>
    <d v="2018-08-20T00:00:00"/>
    <x v="2"/>
    <x v="4"/>
    <x v="0"/>
    <x v="3"/>
    <x v="3"/>
    <x v="0"/>
    <x v="5"/>
    <x v="11"/>
    <x v="226"/>
    <s v="SI"/>
  </r>
  <r>
    <d v="2018-08-20T00:00:00"/>
    <x v="2"/>
    <x v="3"/>
    <x v="0"/>
    <x v="0"/>
    <x v="14"/>
    <x v="1"/>
    <x v="5"/>
    <x v="2"/>
    <x v="7"/>
    <s v="SI"/>
  </r>
  <r>
    <d v="2018-08-20T00:00:00"/>
    <x v="4"/>
    <x v="1"/>
    <x v="0"/>
    <x v="0"/>
    <x v="14"/>
    <x v="0"/>
    <x v="6"/>
    <x v="10"/>
    <x v="124"/>
    <s v="SI"/>
  </r>
  <r>
    <d v="2018-08-20T00:00:00"/>
    <x v="3"/>
    <x v="7"/>
    <x v="0"/>
    <x v="4"/>
    <x v="5"/>
    <x v="1"/>
    <x v="7"/>
    <x v="2"/>
    <x v="227"/>
    <s v="SI"/>
  </r>
  <r>
    <d v="2018-08-20T00:00:00"/>
    <x v="16"/>
    <x v="8"/>
    <x v="0"/>
    <x v="2"/>
    <x v="9"/>
    <x v="1"/>
    <x v="33"/>
    <x v="9"/>
    <x v="178"/>
    <s v="SI"/>
  </r>
  <r>
    <d v="2018-08-20T00:00:00"/>
    <x v="16"/>
    <x v="0"/>
    <x v="0"/>
    <x v="0"/>
    <x v="14"/>
    <x v="1"/>
    <x v="33"/>
    <x v="6"/>
    <x v="228"/>
    <s v="SI"/>
  </r>
  <r>
    <d v="2018-08-20T00:00:00"/>
    <x v="15"/>
    <x v="3"/>
    <x v="0"/>
    <x v="1"/>
    <x v="1"/>
    <x v="1"/>
    <x v="24"/>
    <x v="11"/>
    <x v="204"/>
    <s v="SI"/>
  </r>
  <r>
    <d v="2018-08-20T00:00:00"/>
    <x v="15"/>
    <x v="5"/>
    <x v="0"/>
    <x v="2"/>
    <x v="16"/>
    <x v="1"/>
    <x v="24"/>
    <x v="9"/>
    <x v="179"/>
    <s v="SI"/>
  </r>
  <r>
    <d v="2018-08-20T00:00:00"/>
    <x v="5"/>
    <x v="2"/>
    <x v="1"/>
    <x v="5"/>
    <x v="7"/>
    <x v="0"/>
    <x v="43"/>
    <x v="6"/>
    <x v="229"/>
    <s v="SI"/>
  </r>
  <r>
    <d v="2018-08-20T00:00:00"/>
    <x v="6"/>
    <x v="2"/>
    <x v="1"/>
    <x v="3"/>
    <x v="3"/>
    <x v="0"/>
    <x v="10"/>
    <x v="12"/>
    <x v="230"/>
    <s v="SI"/>
  </r>
  <r>
    <d v="2018-08-20T00:00:00"/>
    <x v="6"/>
    <x v="2"/>
    <x v="1"/>
    <x v="5"/>
    <x v="8"/>
    <x v="1"/>
    <x v="10"/>
    <x v="9"/>
    <x v="16"/>
    <s v="SI"/>
  </r>
  <r>
    <d v="2018-08-20T00:00:00"/>
    <x v="19"/>
    <x v="3"/>
    <x v="5"/>
    <x v="3"/>
    <x v="3"/>
    <x v="1"/>
    <x v="37"/>
    <x v="23"/>
    <x v="231"/>
    <s v="SI"/>
  </r>
  <r>
    <d v="2018-08-20T00:00:00"/>
    <x v="15"/>
    <x v="3"/>
    <x v="0"/>
    <x v="1"/>
    <x v="13"/>
    <x v="0"/>
    <x v="34"/>
    <x v="9"/>
    <x v="232"/>
    <s v="SI"/>
  </r>
  <r>
    <d v="2018-08-20T00:00:00"/>
    <x v="23"/>
    <x v="1"/>
    <x v="1"/>
    <x v="5"/>
    <x v="7"/>
    <x v="0"/>
    <x v="44"/>
    <x v="5"/>
    <x v="233"/>
    <s v="SI"/>
  </r>
  <r>
    <d v="2018-08-20T00:00:00"/>
    <x v="7"/>
    <x v="4"/>
    <x v="1"/>
    <x v="2"/>
    <x v="9"/>
    <x v="1"/>
    <x v="28"/>
    <x v="9"/>
    <x v="49"/>
    <s v="SI"/>
  </r>
  <r>
    <d v="2018-08-20T00:00:00"/>
    <x v="7"/>
    <x v="1"/>
    <x v="1"/>
    <x v="5"/>
    <x v="7"/>
    <x v="0"/>
    <x v="11"/>
    <x v="5"/>
    <x v="19"/>
    <s v="SI"/>
  </r>
  <r>
    <d v="2018-08-20T00:00:00"/>
    <x v="8"/>
    <x v="2"/>
    <x v="2"/>
    <x v="1"/>
    <x v="4"/>
    <x v="0"/>
    <x v="13"/>
    <x v="9"/>
    <x v="139"/>
    <s v="SI"/>
  </r>
  <r>
    <d v="2018-08-20T00:00:00"/>
    <x v="8"/>
    <x v="7"/>
    <x v="2"/>
    <x v="3"/>
    <x v="3"/>
    <x v="1"/>
    <x v="13"/>
    <x v="1"/>
    <x v="234"/>
    <s v="SI"/>
  </r>
  <r>
    <d v="2018-08-20T00:00:00"/>
    <x v="8"/>
    <x v="2"/>
    <x v="2"/>
    <x v="0"/>
    <x v="11"/>
    <x v="0"/>
    <x v="13"/>
    <x v="8"/>
    <x v="235"/>
    <s v="SI"/>
  </r>
  <r>
    <d v="2018-08-20T00:00:00"/>
    <x v="10"/>
    <x v="7"/>
    <x v="4"/>
    <x v="2"/>
    <x v="16"/>
    <x v="1"/>
    <x v="15"/>
    <x v="11"/>
    <x v="236"/>
    <s v="SI"/>
  </r>
  <r>
    <d v="2018-08-20T00:00:00"/>
    <x v="10"/>
    <x v="3"/>
    <x v="4"/>
    <x v="2"/>
    <x v="9"/>
    <x v="1"/>
    <x v="16"/>
    <x v="4"/>
    <x v="237"/>
    <s v="SI"/>
  </r>
  <r>
    <d v="2018-08-20T00:00:00"/>
    <x v="9"/>
    <x v="7"/>
    <x v="3"/>
    <x v="4"/>
    <x v="15"/>
    <x v="0"/>
    <x v="17"/>
    <x v="7"/>
    <x v="238"/>
    <s v="SI"/>
  </r>
  <r>
    <d v="2018-08-20T00:00:00"/>
    <x v="9"/>
    <x v="2"/>
    <x v="3"/>
    <x v="2"/>
    <x v="2"/>
    <x v="1"/>
    <x v="17"/>
    <x v="18"/>
    <x v="239"/>
    <s v="SI"/>
  </r>
  <r>
    <d v="2018-08-20T00:00:00"/>
    <x v="11"/>
    <x v="4"/>
    <x v="2"/>
    <x v="1"/>
    <x v="4"/>
    <x v="1"/>
    <x v="18"/>
    <x v="7"/>
    <x v="86"/>
    <s v="SI"/>
  </r>
  <r>
    <d v="2018-08-20T00:00:00"/>
    <x v="12"/>
    <x v="4"/>
    <x v="2"/>
    <x v="3"/>
    <x v="3"/>
    <x v="0"/>
    <x v="18"/>
    <x v="0"/>
    <x v="114"/>
    <s v="SI"/>
  </r>
  <r>
    <d v="2018-08-20T00:00:00"/>
    <x v="12"/>
    <x v="3"/>
    <x v="2"/>
    <x v="0"/>
    <x v="11"/>
    <x v="1"/>
    <x v="18"/>
    <x v="6"/>
    <x v="87"/>
    <s v="SI"/>
  </r>
  <r>
    <d v="2018-08-20T00:00:00"/>
    <x v="12"/>
    <x v="2"/>
    <x v="2"/>
    <x v="4"/>
    <x v="15"/>
    <x v="0"/>
    <x v="20"/>
    <x v="10"/>
    <x v="115"/>
    <s v="SI"/>
  </r>
  <r>
    <d v="2018-08-20T00:00:00"/>
    <x v="12"/>
    <x v="3"/>
    <x v="2"/>
    <x v="3"/>
    <x v="3"/>
    <x v="1"/>
    <x v="20"/>
    <x v="9"/>
    <x v="116"/>
    <s v="SI"/>
  </r>
  <r>
    <d v="2018-08-20T00:00:00"/>
    <x v="12"/>
    <x v="0"/>
    <x v="2"/>
    <x v="3"/>
    <x v="3"/>
    <x v="1"/>
    <x v="20"/>
    <x v="5"/>
    <x v="240"/>
    <s v="SI"/>
  </r>
  <r>
    <d v="2018-08-20T00:00:00"/>
    <x v="12"/>
    <x v="2"/>
    <x v="2"/>
    <x v="5"/>
    <x v="8"/>
    <x v="1"/>
    <x v="20"/>
    <x v="6"/>
    <x v="191"/>
    <s v="SI"/>
  </r>
  <r>
    <d v="2018-08-21T00:00:00"/>
    <x v="0"/>
    <x v="7"/>
    <x v="0"/>
    <x v="3"/>
    <x v="3"/>
    <x v="1"/>
    <x v="36"/>
    <x v="12"/>
    <x v="217"/>
    <s v="SI"/>
  </r>
  <r>
    <d v="2018-08-21T00:00:00"/>
    <x v="0"/>
    <x v="0"/>
    <x v="0"/>
    <x v="5"/>
    <x v="7"/>
    <x v="1"/>
    <x v="0"/>
    <x v="2"/>
    <x v="241"/>
    <s v="SI"/>
  </r>
  <r>
    <d v="2018-08-21T00:00:00"/>
    <x v="1"/>
    <x v="3"/>
    <x v="0"/>
    <x v="5"/>
    <x v="7"/>
    <x v="1"/>
    <x v="1"/>
    <x v="7"/>
    <x v="242"/>
    <s v="SI"/>
  </r>
  <r>
    <d v="2018-08-21T00:00:00"/>
    <x v="3"/>
    <x v="7"/>
    <x v="0"/>
    <x v="2"/>
    <x v="2"/>
    <x v="1"/>
    <x v="42"/>
    <x v="4"/>
    <x v="243"/>
    <s v="SI"/>
  </r>
  <r>
    <d v="2018-08-21T00:00:00"/>
    <x v="3"/>
    <x v="0"/>
    <x v="0"/>
    <x v="0"/>
    <x v="11"/>
    <x v="1"/>
    <x v="42"/>
    <x v="13"/>
    <x v="244"/>
    <s v="SI"/>
  </r>
  <r>
    <d v="2018-08-21T00:00:00"/>
    <x v="1"/>
    <x v="1"/>
    <x v="0"/>
    <x v="3"/>
    <x v="10"/>
    <x v="0"/>
    <x v="32"/>
    <x v="7"/>
    <x v="67"/>
    <s v="SI"/>
  </r>
  <r>
    <d v="2018-08-21T00:00:00"/>
    <x v="1"/>
    <x v="1"/>
    <x v="0"/>
    <x v="5"/>
    <x v="8"/>
    <x v="1"/>
    <x v="32"/>
    <x v="9"/>
    <x v="173"/>
    <s v="SI"/>
  </r>
  <r>
    <d v="2018-08-21T00:00:00"/>
    <x v="3"/>
    <x v="1"/>
    <x v="0"/>
    <x v="0"/>
    <x v="0"/>
    <x v="1"/>
    <x v="4"/>
    <x v="2"/>
    <x v="245"/>
    <s v="SI"/>
  </r>
  <r>
    <d v="2018-08-21T00:00:00"/>
    <x v="2"/>
    <x v="5"/>
    <x v="0"/>
    <x v="3"/>
    <x v="10"/>
    <x v="1"/>
    <x v="5"/>
    <x v="12"/>
    <x v="176"/>
    <s v="SI"/>
  </r>
  <r>
    <d v="2018-08-21T00:00:00"/>
    <x v="2"/>
    <x v="2"/>
    <x v="0"/>
    <x v="2"/>
    <x v="9"/>
    <x v="0"/>
    <x v="5"/>
    <x v="4"/>
    <x v="40"/>
    <s v="SI"/>
  </r>
  <r>
    <d v="2018-08-21T00:00:00"/>
    <x v="2"/>
    <x v="0"/>
    <x v="0"/>
    <x v="2"/>
    <x v="2"/>
    <x v="0"/>
    <x v="5"/>
    <x v="0"/>
    <x v="39"/>
    <s v="SI"/>
  </r>
  <r>
    <d v="2018-08-21T00:00:00"/>
    <x v="2"/>
    <x v="3"/>
    <x v="0"/>
    <x v="0"/>
    <x v="0"/>
    <x v="1"/>
    <x v="5"/>
    <x v="9"/>
    <x v="148"/>
    <s v="SI"/>
  </r>
  <r>
    <d v="2018-08-21T00:00:00"/>
    <x v="4"/>
    <x v="3"/>
    <x v="0"/>
    <x v="4"/>
    <x v="6"/>
    <x v="0"/>
    <x v="6"/>
    <x v="9"/>
    <x v="102"/>
    <s v="SI"/>
  </r>
  <r>
    <d v="2018-08-21T00:00:00"/>
    <x v="14"/>
    <x v="2"/>
    <x v="0"/>
    <x v="2"/>
    <x v="16"/>
    <x v="0"/>
    <x v="23"/>
    <x v="10"/>
    <x v="246"/>
    <s v="SI"/>
  </r>
  <r>
    <d v="2018-08-21T00:00:00"/>
    <x v="5"/>
    <x v="2"/>
    <x v="1"/>
    <x v="1"/>
    <x v="4"/>
    <x v="1"/>
    <x v="8"/>
    <x v="16"/>
    <x v="247"/>
    <s v="SI"/>
  </r>
  <r>
    <d v="2018-08-21T00:00:00"/>
    <x v="16"/>
    <x v="7"/>
    <x v="0"/>
    <x v="4"/>
    <x v="5"/>
    <x v="0"/>
    <x v="33"/>
    <x v="5"/>
    <x v="248"/>
    <s v="SI"/>
  </r>
  <r>
    <d v="2018-08-21T00:00:00"/>
    <x v="16"/>
    <x v="2"/>
    <x v="0"/>
    <x v="0"/>
    <x v="0"/>
    <x v="0"/>
    <x v="33"/>
    <x v="0"/>
    <x v="156"/>
    <s v="SI"/>
  </r>
  <r>
    <d v="2018-08-21T00:00:00"/>
    <x v="15"/>
    <x v="10"/>
    <x v="0"/>
    <x v="1"/>
    <x v="13"/>
    <x v="1"/>
    <x v="24"/>
    <x v="4"/>
    <x v="75"/>
    <s v="SI"/>
  </r>
  <r>
    <d v="2018-08-21T00:00:00"/>
    <x v="5"/>
    <x v="2"/>
    <x v="1"/>
    <x v="1"/>
    <x v="13"/>
    <x v="0"/>
    <x v="45"/>
    <x v="9"/>
    <x v="249"/>
    <s v="SI"/>
  </r>
  <r>
    <d v="2018-08-21T00:00:00"/>
    <x v="5"/>
    <x v="2"/>
    <x v="1"/>
    <x v="4"/>
    <x v="6"/>
    <x v="1"/>
    <x v="45"/>
    <x v="6"/>
    <x v="250"/>
    <s v="SI"/>
  </r>
  <r>
    <d v="2018-08-21T00:00:00"/>
    <x v="5"/>
    <x v="2"/>
    <x v="1"/>
    <x v="3"/>
    <x v="3"/>
    <x v="1"/>
    <x v="10"/>
    <x v="23"/>
    <x v="251"/>
    <s v="SI"/>
  </r>
  <r>
    <d v="2018-08-21T00:00:00"/>
    <x v="6"/>
    <x v="2"/>
    <x v="1"/>
    <x v="3"/>
    <x v="3"/>
    <x v="1"/>
    <x v="10"/>
    <x v="2"/>
    <x v="183"/>
    <s v="SI"/>
  </r>
  <r>
    <d v="2018-08-21T00:00:00"/>
    <x v="5"/>
    <x v="2"/>
    <x v="1"/>
    <x v="2"/>
    <x v="2"/>
    <x v="1"/>
    <x v="10"/>
    <x v="13"/>
    <x v="44"/>
    <s v="SI"/>
  </r>
  <r>
    <d v="2018-08-21T00:00:00"/>
    <x v="6"/>
    <x v="2"/>
    <x v="1"/>
    <x v="2"/>
    <x v="2"/>
    <x v="0"/>
    <x v="10"/>
    <x v="16"/>
    <x v="158"/>
    <s v="SI"/>
  </r>
  <r>
    <d v="2018-08-21T00:00:00"/>
    <x v="6"/>
    <x v="2"/>
    <x v="1"/>
    <x v="5"/>
    <x v="8"/>
    <x v="1"/>
    <x v="10"/>
    <x v="16"/>
    <x v="158"/>
    <s v="SI"/>
  </r>
  <r>
    <d v="2018-08-21T00:00:00"/>
    <x v="6"/>
    <x v="2"/>
    <x v="1"/>
    <x v="5"/>
    <x v="12"/>
    <x v="0"/>
    <x v="10"/>
    <x v="11"/>
    <x v="252"/>
    <s v="SI"/>
  </r>
  <r>
    <d v="2018-08-21T00:00:00"/>
    <x v="15"/>
    <x v="7"/>
    <x v="0"/>
    <x v="0"/>
    <x v="14"/>
    <x v="1"/>
    <x v="26"/>
    <x v="6"/>
    <x v="253"/>
    <s v="SI"/>
  </r>
  <r>
    <d v="2018-08-21T00:00:00"/>
    <x v="2"/>
    <x v="2"/>
    <x v="0"/>
    <x v="2"/>
    <x v="16"/>
    <x v="0"/>
    <x v="39"/>
    <x v="4"/>
    <x v="254"/>
    <s v="SI"/>
  </r>
  <r>
    <d v="2018-08-21T00:00:00"/>
    <x v="2"/>
    <x v="10"/>
    <x v="0"/>
    <x v="0"/>
    <x v="14"/>
    <x v="1"/>
    <x v="39"/>
    <x v="9"/>
    <x v="161"/>
    <s v="SI"/>
  </r>
  <r>
    <d v="2018-08-21T00:00:00"/>
    <x v="24"/>
    <x v="1"/>
    <x v="1"/>
    <x v="2"/>
    <x v="16"/>
    <x v="1"/>
    <x v="46"/>
    <x v="7"/>
    <x v="255"/>
    <s v="SI"/>
  </r>
  <r>
    <d v="2018-08-21T00:00:00"/>
    <x v="7"/>
    <x v="3"/>
    <x v="1"/>
    <x v="1"/>
    <x v="13"/>
    <x v="1"/>
    <x v="28"/>
    <x v="4"/>
    <x v="131"/>
    <s v="SI"/>
  </r>
  <r>
    <d v="2018-08-21T00:00:00"/>
    <x v="7"/>
    <x v="2"/>
    <x v="1"/>
    <x v="3"/>
    <x v="3"/>
    <x v="1"/>
    <x v="28"/>
    <x v="10"/>
    <x v="256"/>
    <s v="SI"/>
  </r>
  <r>
    <d v="2018-08-21T00:00:00"/>
    <x v="7"/>
    <x v="1"/>
    <x v="1"/>
    <x v="0"/>
    <x v="14"/>
    <x v="1"/>
    <x v="28"/>
    <x v="9"/>
    <x v="49"/>
    <s v="SI"/>
  </r>
  <r>
    <d v="2018-08-21T00:00:00"/>
    <x v="14"/>
    <x v="3"/>
    <x v="0"/>
    <x v="1"/>
    <x v="13"/>
    <x v="1"/>
    <x v="35"/>
    <x v="4"/>
    <x v="257"/>
    <s v="SI"/>
  </r>
  <r>
    <d v="2018-08-21T00:00:00"/>
    <x v="14"/>
    <x v="2"/>
    <x v="0"/>
    <x v="4"/>
    <x v="6"/>
    <x v="1"/>
    <x v="35"/>
    <x v="5"/>
    <x v="258"/>
    <s v="SI"/>
  </r>
  <r>
    <d v="2018-08-21T00:00:00"/>
    <x v="7"/>
    <x v="1"/>
    <x v="1"/>
    <x v="4"/>
    <x v="5"/>
    <x v="1"/>
    <x v="11"/>
    <x v="6"/>
    <x v="186"/>
    <s v="SI"/>
  </r>
  <r>
    <d v="2018-08-21T00:00:00"/>
    <x v="7"/>
    <x v="6"/>
    <x v="1"/>
    <x v="3"/>
    <x v="3"/>
    <x v="1"/>
    <x v="11"/>
    <x v="20"/>
    <x v="259"/>
    <s v="SI"/>
  </r>
  <r>
    <d v="2018-08-21T00:00:00"/>
    <x v="7"/>
    <x v="1"/>
    <x v="1"/>
    <x v="1"/>
    <x v="13"/>
    <x v="0"/>
    <x v="12"/>
    <x v="9"/>
    <x v="83"/>
    <s v="SI"/>
  </r>
  <r>
    <d v="2018-08-21T00:00:00"/>
    <x v="8"/>
    <x v="0"/>
    <x v="2"/>
    <x v="3"/>
    <x v="3"/>
    <x v="1"/>
    <x v="13"/>
    <x v="9"/>
    <x v="139"/>
    <s v="SI"/>
  </r>
  <r>
    <d v="2018-08-21T00:00:00"/>
    <x v="10"/>
    <x v="3"/>
    <x v="4"/>
    <x v="2"/>
    <x v="16"/>
    <x v="1"/>
    <x v="16"/>
    <x v="7"/>
    <x v="56"/>
    <s v="SI"/>
  </r>
  <r>
    <d v="2018-08-21T00:00:00"/>
    <x v="10"/>
    <x v="3"/>
    <x v="4"/>
    <x v="5"/>
    <x v="8"/>
    <x v="1"/>
    <x v="16"/>
    <x v="2"/>
    <x v="260"/>
    <s v="SI"/>
  </r>
  <r>
    <d v="2018-08-21T00:00:00"/>
    <x v="12"/>
    <x v="3"/>
    <x v="2"/>
    <x v="3"/>
    <x v="10"/>
    <x v="1"/>
    <x v="18"/>
    <x v="4"/>
    <x v="261"/>
    <s v="SI"/>
  </r>
  <r>
    <d v="2018-08-21T00:00:00"/>
    <x v="11"/>
    <x v="0"/>
    <x v="2"/>
    <x v="3"/>
    <x v="3"/>
    <x v="1"/>
    <x v="18"/>
    <x v="3"/>
    <x v="215"/>
    <s v="SI"/>
  </r>
  <r>
    <d v="2018-08-21T00:00:00"/>
    <x v="13"/>
    <x v="2"/>
    <x v="4"/>
    <x v="5"/>
    <x v="8"/>
    <x v="1"/>
    <x v="19"/>
    <x v="12"/>
    <x v="262"/>
    <s v="SI"/>
  </r>
  <r>
    <d v="2018-08-21T00:00:00"/>
    <x v="18"/>
    <x v="2"/>
    <x v="4"/>
    <x v="0"/>
    <x v="0"/>
    <x v="1"/>
    <x v="31"/>
    <x v="9"/>
    <x v="61"/>
    <s v="SI"/>
  </r>
  <r>
    <d v="2018-08-22T00:00:00"/>
    <x v="0"/>
    <x v="10"/>
    <x v="0"/>
    <x v="3"/>
    <x v="10"/>
    <x v="1"/>
    <x v="36"/>
    <x v="4"/>
    <x v="263"/>
    <s v="SI"/>
  </r>
  <r>
    <d v="2018-08-22T00:00:00"/>
    <x v="0"/>
    <x v="2"/>
    <x v="0"/>
    <x v="1"/>
    <x v="4"/>
    <x v="0"/>
    <x v="21"/>
    <x v="9"/>
    <x v="119"/>
    <s v="SI"/>
  </r>
  <r>
    <d v="2018-08-22T00:00:00"/>
    <x v="0"/>
    <x v="6"/>
    <x v="0"/>
    <x v="0"/>
    <x v="11"/>
    <x v="1"/>
    <x v="21"/>
    <x v="1"/>
    <x v="194"/>
    <s v="SI"/>
  </r>
  <r>
    <d v="2018-08-22T00:00:00"/>
    <x v="0"/>
    <x v="5"/>
    <x v="0"/>
    <x v="5"/>
    <x v="8"/>
    <x v="0"/>
    <x v="21"/>
    <x v="16"/>
    <x v="264"/>
    <s v="SI"/>
  </r>
  <r>
    <d v="2018-08-22T00:00:00"/>
    <x v="1"/>
    <x v="2"/>
    <x v="0"/>
    <x v="4"/>
    <x v="5"/>
    <x v="0"/>
    <x v="1"/>
    <x v="2"/>
    <x v="2"/>
    <s v="SI"/>
  </r>
  <r>
    <d v="2018-08-22T00:00:00"/>
    <x v="1"/>
    <x v="0"/>
    <x v="0"/>
    <x v="5"/>
    <x v="8"/>
    <x v="0"/>
    <x v="1"/>
    <x v="18"/>
    <x v="64"/>
    <s v="SI"/>
  </r>
  <r>
    <d v="2018-08-22T00:00:00"/>
    <x v="1"/>
    <x v="2"/>
    <x v="0"/>
    <x v="0"/>
    <x v="11"/>
    <x v="0"/>
    <x v="3"/>
    <x v="2"/>
    <x v="265"/>
    <s v="SI"/>
  </r>
  <r>
    <d v="2018-08-22T00:00:00"/>
    <x v="4"/>
    <x v="0"/>
    <x v="0"/>
    <x v="4"/>
    <x v="5"/>
    <x v="1"/>
    <x v="6"/>
    <x v="2"/>
    <x v="149"/>
    <s v="SI"/>
  </r>
  <r>
    <d v="2018-08-22T00:00:00"/>
    <x v="3"/>
    <x v="3"/>
    <x v="0"/>
    <x v="3"/>
    <x v="10"/>
    <x v="1"/>
    <x v="7"/>
    <x v="12"/>
    <x v="266"/>
    <s v="SI"/>
  </r>
  <r>
    <d v="2018-08-22T00:00:00"/>
    <x v="15"/>
    <x v="1"/>
    <x v="0"/>
    <x v="0"/>
    <x v="14"/>
    <x v="0"/>
    <x v="24"/>
    <x v="7"/>
    <x v="105"/>
    <s v="SI"/>
  </r>
  <r>
    <d v="2018-08-22T00:00:00"/>
    <x v="5"/>
    <x v="2"/>
    <x v="1"/>
    <x v="1"/>
    <x v="13"/>
    <x v="1"/>
    <x v="43"/>
    <x v="10"/>
    <x v="267"/>
    <s v="SI"/>
  </r>
  <r>
    <d v="2018-08-22T00:00:00"/>
    <x v="5"/>
    <x v="2"/>
    <x v="1"/>
    <x v="2"/>
    <x v="2"/>
    <x v="1"/>
    <x v="10"/>
    <x v="0"/>
    <x v="18"/>
    <s v="SI"/>
  </r>
  <r>
    <d v="2018-08-22T00:00:00"/>
    <x v="5"/>
    <x v="2"/>
    <x v="1"/>
    <x v="0"/>
    <x v="11"/>
    <x v="1"/>
    <x v="10"/>
    <x v="20"/>
    <x v="268"/>
    <s v="SI"/>
  </r>
  <r>
    <d v="2018-08-22T00:00:00"/>
    <x v="16"/>
    <x v="1"/>
    <x v="0"/>
    <x v="4"/>
    <x v="6"/>
    <x v="1"/>
    <x v="27"/>
    <x v="0"/>
    <x v="109"/>
    <s v="SI"/>
  </r>
  <r>
    <d v="2018-08-22T00:00:00"/>
    <x v="2"/>
    <x v="1"/>
    <x v="0"/>
    <x v="4"/>
    <x v="6"/>
    <x v="0"/>
    <x v="39"/>
    <x v="9"/>
    <x v="161"/>
    <s v="SI"/>
  </r>
  <r>
    <d v="2018-08-22T00:00:00"/>
    <x v="2"/>
    <x v="1"/>
    <x v="0"/>
    <x v="3"/>
    <x v="10"/>
    <x v="1"/>
    <x v="39"/>
    <x v="10"/>
    <x v="128"/>
    <s v="SI"/>
  </r>
  <r>
    <d v="2018-08-22T00:00:00"/>
    <x v="2"/>
    <x v="2"/>
    <x v="0"/>
    <x v="5"/>
    <x v="7"/>
    <x v="0"/>
    <x v="39"/>
    <x v="7"/>
    <x v="269"/>
    <s v="SI"/>
  </r>
  <r>
    <d v="2018-08-22T00:00:00"/>
    <x v="7"/>
    <x v="3"/>
    <x v="1"/>
    <x v="0"/>
    <x v="14"/>
    <x v="1"/>
    <x v="28"/>
    <x v="7"/>
    <x v="270"/>
    <s v="SI"/>
  </r>
  <r>
    <d v="2018-08-22T00:00:00"/>
    <x v="7"/>
    <x v="0"/>
    <x v="1"/>
    <x v="3"/>
    <x v="10"/>
    <x v="0"/>
    <x v="29"/>
    <x v="4"/>
    <x v="271"/>
    <s v="SI"/>
  </r>
  <r>
    <d v="2018-08-22T00:00:00"/>
    <x v="7"/>
    <x v="5"/>
    <x v="1"/>
    <x v="2"/>
    <x v="16"/>
    <x v="0"/>
    <x v="29"/>
    <x v="10"/>
    <x v="272"/>
    <s v="SI"/>
  </r>
  <r>
    <d v="2018-08-22T00:00:00"/>
    <x v="7"/>
    <x v="2"/>
    <x v="1"/>
    <x v="3"/>
    <x v="3"/>
    <x v="0"/>
    <x v="11"/>
    <x v="12"/>
    <x v="111"/>
    <s v="SI"/>
  </r>
  <r>
    <d v="2018-08-22T00:00:00"/>
    <x v="8"/>
    <x v="8"/>
    <x v="2"/>
    <x v="0"/>
    <x v="11"/>
    <x v="0"/>
    <x v="13"/>
    <x v="9"/>
    <x v="139"/>
    <s v="SI"/>
  </r>
  <r>
    <d v="2018-08-22T00:00:00"/>
    <x v="10"/>
    <x v="5"/>
    <x v="4"/>
    <x v="0"/>
    <x v="14"/>
    <x v="1"/>
    <x v="15"/>
    <x v="5"/>
    <x v="273"/>
    <s v="SI"/>
  </r>
  <r>
    <d v="2018-08-22T00:00:00"/>
    <x v="10"/>
    <x v="4"/>
    <x v="4"/>
    <x v="4"/>
    <x v="5"/>
    <x v="1"/>
    <x v="16"/>
    <x v="9"/>
    <x v="190"/>
    <s v="SI"/>
  </r>
  <r>
    <d v="2018-08-22T00:00:00"/>
    <x v="10"/>
    <x v="2"/>
    <x v="4"/>
    <x v="3"/>
    <x v="3"/>
    <x v="0"/>
    <x v="16"/>
    <x v="9"/>
    <x v="190"/>
    <s v="SI"/>
  </r>
  <r>
    <d v="2018-08-22T00:00:00"/>
    <x v="10"/>
    <x v="2"/>
    <x v="4"/>
    <x v="2"/>
    <x v="2"/>
    <x v="1"/>
    <x v="16"/>
    <x v="9"/>
    <x v="190"/>
    <s v="SI"/>
  </r>
  <r>
    <d v="2018-08-22T00:00:00"/>
    <x v="10"/>
    <x v="3"/>
    <x v="4"/>
    <x v="5"/>
    <x v="7"/>
    <x v="0"/>
    <x v="16"/>
    <x v="6"/>
    <x v="274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59EC7-2F9C-4E2A-8CE6-EBB3E0FCDDBF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5:B57" firstHeaderRow="1" firstDataRow="1" firstDataCol="1"/>
  <pivotFields count="13">
    <pivotField numFmtId="166" showAll="0"/>
    <pivotField showAll="0"/>
    <pivotField axis="axisRow" showAll="0" sortType="descending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2">
    <i>
      <x v="9"/>
    </i>
    <i>
      <x v="10"/>
    </i>
    <i>
      <x v="5"/>
    </i>
    <i>
      <x v="1"/>
    </i>
    <i>
      <x v="3"/>
    </i>
    <i>
      <x/>
    </i>
    <i>
      <x v="6"/>
    </i>
    <i>
      <x v="7"/>
    </i>
    <i>
      <x v="8"/>
    </i>
    <i>
      <x v="4"/>
    </i>
    <i>
      <x v="2"/>
    </i>
    <i t="grand">
      <x/>
    </i>
  </rowItems>
  <colItems count="1">
    <i/>
  </colItems>
  <dataFields count="1">
    <dataField name="Suma de Total" fld="9" baseField="0" baseItem="0" numFmtId="5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E523B-38D6-45AF-B151-E5D33DAFF75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E4" firstHeaderRow="1" firstDataRow="1" firstDataCol="0"/>
  <pivotFields count="13">
    <pivotField numFmtId="166" showAll="0"/>
    <pivotField showAll="0"/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Total" fld="9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9A399-869C-4617-A25F-3325ECF3C9E2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E9" firstHeaderRow="1" firstDataRow="1" firstDataCol="0"/>
  <pivotFields count="13">
    <pivotField numFmtId="166" showAll="0"/>
    <pivotField showAll="0"/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5" showAll="0"/>
    <pivotField dataField="1" numFmtId="167" showAll="0"/>
    <pivotField numFmtId="168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Cantida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00FFF-210C-4601-9C42-1A237725B297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5:G16" firstHeaderRow="0" firstDataRow="1" firstDataCol="0"/>
  <pivotFields count="13">
    <pivotField numFmtId="166"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7" showAll="0"/>
    <pivotField dataField="1" numFmtId="168" showAll="0"/>
    <pivotField showAll="0"/>
    <pivotField dataField="1"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total" fld="9" baseField="0" baseItem="0" numFmtId="168"/>
    <dataField name="Suma de Cantidad" fld="8" baseField="0" baseItem="0" numFmtId="167"/>
    <dataField name="Suma de Ticket Promedio" fld="11" baseField="0" baseItem="0" numFmtId="170"/>
  </dataFields>
  <formats count="1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69495-D7D6-444F-A4B8-3A3A9484857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C29" firstHeaderRow="0" firstDataRow="1" firstDataCol="1"/>
  <pivotFields count="13">
    <pivotField numFmtId="166" showAll="0"/>
    <pivotField axis="axisRow" multipleItemSelectionAllowed="1" showAll="0" sortType="ascending">
      <items count="26">
        <item x="19"/>
        <item x="17"/>
        <item x="11"/>
        <item x="2"/>
        <item x="9"/>
        <item x="16"/>
        <item x="15"/>
        <item x="1"/>
        <item x="3"/>
        <item x="0"/>
        <item x="12"/>
        <item x="4"/>
        <item x="8"/>
        <item x="22"/>
        <item x="18"/>
        <item x="21"/>
        <item x="13"/>
        <item x="7"/>
        <item x="10"/>
        <item x="6"/>
        <item x="14"/>
        <item x="24"/>
        <item x="23"/>
        <item x="2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5" showAll="0"/>
    <pivotField dataField="1" numFmtId="167" showAll="0"/>
    <pivotField dataField="1" numFmtId="168" showAll="0">
      <items count="276">
        <item x="60"/>
        <item x="117"/>
        <item x="167"/>
        <item x="166"/>
        <item x="144"/>
        <item x="61"/>
        <item x="89"/>
        <item x="239"/>
        <item x="114"/>
        <item x="30"/>
        <item x="261"/>
        <item x="55"/>
        <item x="59"/>
        <item x="259"/>
        <item x="116"/>
        <item x="260"/>
        <item x="32"/>
        <item x="237"/>
        <item x="192"/>
        <item x="90"/>
        <item x="143"/>
        <item x="126"/>
        <item x="213"/>
        <item x="216"/>
        <item x="24"/>
        <item x="82"/>
        <item x="190"/>
        <item x="134"/>
        <item x="193"/>
        <item x="54"/>
        <item x="91"/>
        <item x="136"/>
        <item x="50"/>
        <item x="231"/>
        <item x="33"/>
        <item x="257"/>
        <item x="58"/>
        <item x="189"/>
        <item x="139"/>
        <item x="251"/>
        <item x="53"/>
        <item x="29"/>
        <item x="262"/>
        <item x="271"/>
        <item x="88"/>
        <item x="83"/>
        <item x="131"/>
        <item x="165"/>
        <item x="21"/>
        <item x="133"/>
        <item x="191"/>
        <item x="234"/>
        <item x="86"/>
        <item x="28"/>
        <item x="268"/>
        <item x="115"/>
        <item x="132"/>
        <item x="220"/>
        <item x="31"/>
        <item x="27"/>
        <item x="49"/>
        <item x="236"/>
        <item x="240"/>
        <item x="87"/>
        <item x="215"/>
        <item x="238"/>
        <item x="56"/>
        <item x="140"/>
        <item x="52"/>
        <item x="25"/>
        <item x="85"/>
        <item x="129"/>
        <item x="109"/>
        <item x="235"/>
        <item x="57"/>
        <item x="274"/>
        <item x="188"/>
        <item x="96"/>
        <item x="142"/>
        <item x="163"/>
        <item x="254"/>
        <item x="18"/>
        <item x="26"/>
        <item x="157"/>
        <item x="180"/>
        <item x="199"/>
        <item x="214"/>
        <item x="156"/>
        <item x="141"/>
        <item x="112"/>
        <item x="164"/>
        <item x="22"/>
        <item x="177"/>
        <item x="138"/>
        <item x="20"/>
        <item x="183"/>
        <item x="187"/>
        <item x="111"/>
        <item x="39"/>
        <item x="273"/>
        <item x="69"/>
        <item x="64"/>
        <item x="68"/>
        <item x="38"/>
        <item x="227"/>
        <item x="81"/>
        <item x="113"/>
        <item x="212"/>
        <item x="161"/>
        <item x="17"/>
        <item x="149"/>
        <item x="75"/>
        <item x="155"/>
        <item x="135"/>
        <item x="7"/>
        <item x="245"/>
        <item x="224"/>
        <item x="265"/>
        <item x="207"/>
        <item x="84"/>
        <item x="80"/>
        <item x="158"/>
        <item x="170"/>
        <item x="211"/>
        <item x="36"/>
        <item x="103"/>
        <item x="130"/>
        <item x="23"/>
        <item x="222"/>
        <item x="247"/>
        <item x="127"/>
        <item x="221"/>
        <item x="232"/>
        <item x="186"/>
        <item x="40"/>
        <item x="198"/>
        <item x="4"/>
        <item x="209"/>
        <item x="44"/>
        <item x="208"/>
        <item x="51"/>
        <item x="2"/>
        <item x="110"/>
        <item x="270"/>
        <item x="210"/>
        <item x="16"/>
        <item x="243"/>
        <item x="249"/>
        <item x="14"/>
        <item x="43"/>
        <item x="174"/>
        <item x="179"/>
        <item x="137"/>
        <item x="178"/>
        <item x="73"/>
        <item x="153"/>
        <item x="171"/>
        <item x="162"/>
        <item x="19"/>
        <item x="0"/>
        <item x="48"/>
        <item x="258"/>
        <item x="102"/>
        <item x="148"/>
        <item x="173"/>
        <item x="272"/>
        <item x="172"/>
        <item x="264"/>
        <item x="244"/>
        <item x="256"/>
        <item x="241"/>
        <item x="146"/>
        <item x="206"/>
        <item x="154"/>
        <item x="66"/>
        <item x="94"/>
        <item x="119"/>
        <item x="263"/>
        <item x="255"/>
        <item x="269"/>
        <item x="184"/>
        <item x="107"/>
        <item x="34"/>
        <item x="145"/>
        <item x="13"/>
        <item x="1"/>
        <item x="252"/>
        <item x="194"/>
        <item x="204"/>
        <item x="230"/>
        <item x="92"/>
        <item x="160"/>
        <item x="266"/>
        <item x="46"/>
        <item x="150"/>
        <item x="128"/>
        <item x="201"/>
        <item x="99"/>
        <item x="62"/>
        <item x="41"/>
        <item x="101"/>
        <item x="78"/>
        <item x="226"/>
        <item x="182"/>
        <item x="181"/>
        <item x="70"/>
        <item x="100"/>
        <item x="185"/>
        <item x="147"/>
        <item x="233"/>
        <item x="105"/>
        <item x="176"/>
        <item x="74"/>
        <item x="104"/>
        <item x="253"/>
        <item x="121"/>
        <item x="12"/>
        <item x="205"/>
        <item x="197"/>
        <item x="47"/>
        <item x="151"/>
        <item x="77"/>
        <item x="97"/>
        <item x="229"/>
        <item x="250"/>
        <item x="45"/>
        <item x="228"/>
        <item x="203"/>
        <item x="200"/>
        <item x="225"/>
        <item x="120"/>
        <item x="67"/>
        <item x="159"/>
        <item x="37"/>
        <item x="11"/>
        <item x="79"/>
        <item x="15"/>
        <item x="267"/>
        <item x="108"/>
        <item x="72"/>
        <item x="10"/>
        <item x="76"/>
        <item x="196"/>
        <item x="123"/>
        <item x="202"/>
        <item x="6"/>
        <item x="122"/>
        <item x="9"/>
        <item x="106"/>
        <item x="125"/>
        <item x="175"/>
        <item x="42"/>
        <item x="246"/>
        <item x="124"/>
        <item x="248"/>
        <item x="242"/>
        <item x="35"/>
        <item x="71"/>
        <item x="3"/>
        <item x="223"/>
        <item x="152"/>
        <item x="218"/>
        <item x="95"/>
        <item x="98"/>
        <item x="8"/>
        <item x="65"/>
        <item x="169"/>
        <item x="5"/>
        <item x="217"/>
        <item x="195"/>
        <item x="63"/>
        <item x="118"/>
        <item x="168"/>
        <item x="93"/>
        <item x="219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6">
    <i>
      <x v="13"/>
    </i>
    <i>
      <x v="15"/>
    </i>
    <i>
      <x v="23"/>
    </i>
    <i>
      <x v="14"/>
    </i>
    <i>
      <x v="16"/>
    </i>
    <i>
      <x v="1"/>
    </i>
    <i>
      <x v="21"/>
    </i>
    <i>
      <x v="2"/>
    </i>
    <i>
      <x v="4"/>
    </i>
    <i>
      <x v="22"/>
    </i>
    <i>
      <x v="12"/>
    </i>
    <i>
      <x v="10"/>
    </i>
    <i>
      <x v="18"/>
    </i>
    <i>
      <x/>
    </i>
    <i>
      <x v="20"/>
    </i>
    <i>
      <x v="5"/>
    </i>
    <i>
      <x v="17"/>
    </i>
    <i>
      <x v="11"/>
    </i>
    <i>
      <x v="6"/>
    </i>
    <i>
      <x v="19"/>
    </i>
    <i>
      <x v="8"/>
    </i>
    <i>
      <x v="24"/>
    </i>
    <i>
      <x v="9"/>
    </i>
    <i>
      <x v="3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" fld="9" baseField="0" baseItem="0" numFmtId="5"/>
    <dataField name="Suma de Cantidad" fld="8" baseField="0" baseItem="0" numFmtId="167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51A34-11F8-4247-919B-EA3C993623D2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45:K47" firstHeaderRow="1" firstDataRow="2" firstDataCol="1"/>
  <pivotFields count="13">
    <pivotField numFmtId="166" showAll="0"/>
    <pivotField showAll="0"/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axis="axisCol" showAll="0" sortType="descending">
      <items count="7">
        <item x="5"/>
        <item x="4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3"/>
  </colFields>
  <colItems count="7">
    <i>
      <x v="4"/>
    </i>
    <i>
      <x v="5"/>
    </i>
    <i>
      <x v="3"/>
    </i>
    <i>
      <x/>
    </i>
    <i>
      <x v="1"/>
    </i>
    <i>
      <x v="2"/>
    </i>
    <i t="grand">
      <x/>
    </i>
  </colItems>
  <dataFields count="1">
    <dataField name="Suma de Total" fld="9" baseField="0" baseItem="0" numFmtId="5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0C372-F248-43D3-9462-9A2B8C6BA2B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4:B41" firstHeaderRow="1" firstDataRow="1" firstDataCol="1"/>
  <pivotFields count="13">
    <pivotField numFmtId="166" showAll="0"/>
    <pivotField showAll="0"/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axis="axisRow" showAll="0" sortType="descending">
      <items count="7">
        <item x="1"/>
        <item x="4"/>
        <item x="3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 v="2"/>
    </i>
    <i>
      <x v="4"/>
    </i>
    <i>
      <x v="1"/>
    </i>
    <i>
      <x/>
    </i>
    <i>
      <x v="3"/>
    </i>
    <i>
      <x v="5"/>
    </i>
    <i t="grand">
      <x/>
    </i>
  </rowItems>
  <colItems count="1">
    <i/>
  </colItems>
  <dataFields count="1">
    <dataField name="Suma de Total" fld="9" baseField="0" baseItem="0" numFmtId="5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6669C-E1CF-471C-8E2B-C5E9D5CC4F8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D34:E37" firstHeaderRow="1" firstDataRow="1" firstDataCol="1"/>
  <pivotFields count="13">
    <pivotField numFmtId="166" showAll="0"/>
    <pivotField showAll="0"/>
    <pivotField showAll="0">
      <items count="12">
        <item x="7"/>
        <item x="0"/>
        <item x="9"/>
        <item x="4"/>
        <item x="8"/>
        <item x="1"/>
        <item x="5"/>
        <item x="10"/>
        <item x="6"/>
        <item x="2"/>
        <item x="3"/>
        <item t="default"/>
      </items>
    </pivotField>
    <pivotField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a de Total" fld="9" baseField="0" baseItem="0" numFmtId="5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4B487-0765-42DA-872C-C5A221E800A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23:F41" firstHeaderRow="1" firstDataRow="1" firstDataCol="1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axis="axisRow"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numFmtId="165" showAll="0"/>
    <pivotField numFmtId="167" showAll="0"/>
    <pivotField numFmtId="168"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Ticket Promedio" fld="11" baseField="0" baseItem="0" numFmtId="1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6E023-D9CE-4AA3-BADE-A3948CD11E33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B20" firstHeaderRow="1" firstDataRow="1" firstDataCol="1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axis="axisRow"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Total" fld="9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F809C-65D9-4AF5-A480-E58D695409FC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3:C41" firstHeaderRow="1" firstDataRow="1" firstDataCol="1"/>
  <pivotFields count="13">
    <pivotField numFmtId="166" showAll="0"/>
    <pivotField showAll="0"/>
    <pivotField showAll="0"/>
    <pivotField showAll="0">
      <items count="7">
        <item h="1" x="5"/>
        <item x="4"/>
        <item h="1" x="3"/>
        <item h="1" x="2"/>
        <item h="1" x="0"/>
        <item h="1" x="1"/>
        <item t="default"/>
      </items>
    </pivotField>
    <pivotField showAll="0">
      <items count="7">
        <item x="1"/>
        <item x="4"/>
        <item x="3"/>
        <item x="2"/>
        <item x="0"/>
        <item x="5"/>
        <item t="default"/>
      </items>
    </pivotField>
    <pivotField axis="axisRow" showAll="0" sortType="descending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numFmtId="165" showAll="0">
      <items count="48">
        <item x="41"/>
        <item x="31"/>
        <item x="20"/>
        <item x="19"/>
        <item x="18"/>
        <item x="17"/>
        <item x="16"/>
        <item x="15"/>
        <item x="30"/>
        <item x="14"/>
        <item x="13"/>
        <item x="12"/>
        <item x="11"/>
        <item x="35"/>
        <item x="29"/>
        <item x="28"/>
        <item x="46"/>
        <item x="44"/>
        <item x="39"/>
        <item x="27"/>
        <item x="34"/>
        <item x="37"/>
        <item x="26"/>
        <item x="10"/>
        <item x="43"/>
        <item x="45"/>
        <item x="9"/>
        <item x="38"/>
        <item x="40"/>
        <item x="25"/>
        <item x="24"/>
        <item x="33"/>
        <item x="8"/>
        <item x="7"/>
        <item x="23"/>
        <item x="6"/>
        <item x="5"/>
        <item x="4"/>
        <item x="32"/>
        <item x="3"/>
        <item x="22"/>
        <item x="2"/>
        <item x="42"/>
        <item x="1"/>
        <item x="21"/>
        <item x="0"/>
        <item x="36"/>
        <item t="default"/>
      </items>
    </pivotField>
    <pivotField numFmtId="167" showAll="0">
      <items count="25">
        <item x="21"/>
        <item x="23"/>
        <item x="20"/>
        <item x="18"/>
        <item x="0"/>
        <item x="2"/>
        <item x="4"/>
        <item x="16"/>
        <item x="13"/>
        <item x="9"/>
        <item x="19"/>
        <item x="22"/>
        <item x="1"/>
        <item x="17"/>
        <item x="15"/>
        <item x="8"/>
        <item x="11"/>
        <item x="12"/>
        <item x="14"/>
        <item x="7"/>
        <item x="6"/>
        <item x="3"/>
        <item x="10"/>
        <item x="5"/>
        <item t="default"/>
      </items>
    </pivotField>
    <pivotField dataField="1" numFmtId="168" showAll="0">
      <items count="276">
        <item x="60"/>
        <item x="117"/>
        <item x="167"/>
        <item x="166"/>
        <item x="144"/>
        <item x="61"/>
        <item x="89"/>
        <item x="239"/>
        <item x="114"/>
        <item x="30"/>
        <item x="261"/>
        <item x="55"/>
        <item x="59"/>
        <item x="259"/>
        <item x="116"/>
        <item x="260"/>
        <item x="32"/>
        <item x="237"/>
        <item x="192"/>
        <item x="90"/>
        <item x="143"/>
        <item x="126"/>
        <item x="213"/>
        <item x="216"/>
        <item x="24"/>
        <item x="82"/>
        <item x="190"/>
        <item x="134"/>
        <item x="193"/>
        <item x="54"/>
        <item x="91"/>
        <item x="136"/>
        <item x="50"/>
        <item x="231"/>
        <item x="33"/>
        <item x="257"/>
        <item x="58"/>
        <item x="189"/>
        <item x="139"/>
        <item x="251"/>
        <item x="53"/>
        <item x="29"/>
        <item x="262"/>
        <item x="271"/>
        <item x="88"/>
        <item x="83"/>
        <item x="131"/>
        <item x="165"/>
        <item x="21"/>
        <item x="133"/>
        <item x="191"/>
        <item x="234"/>
        <item x="86"/>
        <item x="28"/>
        <item x="268"/>
        <item x="115"/>
        <item x="132"/>
        <item x="220"/>
        <item x="31"/>
        <item x="27"/>
        <item x="49"/>
        <item x="236"/>
        <item x="240"/>
        <item x="87"/>
        <item x="215"/>
        <item x="238"/>
        <item x="56"/>
        <item x="140"/>
        <item x="52"/>
        <item x="25"/>
        <item x="85"/>
        <item x="129"/>
        <item x="109"/>
        <item x="235"/>
        <item x="57"/>
        <item x="274"/>
        <item x="188"/>
        <item x="96"/>
        <item x="142"/>
        <item x="163"/>
        <item x="254"/>
        <item x="18"/>
        <item x="26"/>
        <item x="157"/>
        <item x="180"/>
        <item x="199"/>
        <item x="214"/>
        <item x="156"/>
        <item x="141"/>
        <item x="112"/>
        <item x="164"/>
        <item x="22"/>
        <item x="177"/>
        <item x="138"/>
        <item x="20"/>
        <item x="183"/>
        <item x="187"/>
        <item x="111"/>
        <item x="39"/>
        <item x="273"/>
        <item x="69"/>
        <item x="64"/>
        <item x="68"/>
        <item x="38"/>
        <item x="227"/>
        <item x="81"/>
        <item x="113"/>
        <item x="212"/>
        <item x="161"/>
        <item x="17"/>
        <item x="149"/>
        <item x="75"/>
        <item x="155"/>
        <item x="135"/>
        <item x="7"/>
        <item x="245"/>
        <item x="224"/>
        <item x="265"/>
        <item x="207"/>
        <item x="84"/>
        <item x="80"/>
        <item x="158"/>
        <item x="170"/>
        <item x="211"/>
        <item x="36"/>
        <item x="103"/>
        <item x="130"/>
        <item x="23"/>
        <item x="222"/>
        <item x="247"/>
        <item x="127"/>
        <item x="221"/>
        <item x="232"/>
        <item x="186"/>
        <item x="40"/>
        <item x="198"/>
        <item x="4"/>
        <item x="209"/>
        <item x="44"/>
        <item x="208"/>
        <item x="51"/>
        <item x="2"/>
        <item x="110"/>
        <item x="270"/>
        <item x="210"/>
        <item x="16"/>
        <item x="243"/>
        <item x="249"/>
        <item x="14"/>
        <item x="43"/>
        <item x="174"/>
        <item x="179"/>
        <item x="137"/>
        <item x="178"/>
        <item x="73"/>
        <item x="153"/>
        <item x="171"/>
        <item x="162"/>
        <item x="19"/>
        <item x="0"/>
        <item x="48"/>
        <item x="258"/>
        <item x="102"/>
        <item x="148"/>
        <item x="173"/>
        <item x="272"/>
        <item x="172"/>
        <item x="264"/>
        <item x="244"/>
        <item x="256"/>
        <item x="241"/>
        <item x="146"/>
        <item x="206"/>
        <item x="154"/>
        <item x="66"/>
        <item x="94"/>
        <item x="119"/>
        <item x="263"/>
        <item x="255"/>
        <item x="269"/>
        <item x="184"/>
        <item x="107"/>
        <item x="34"/>
        <item x="145"/>
        <item x="13"/>
        <item x="1"/>
        <item x="252"/>
        <item x="194"/>
        <item x="204"/>
        <item x="230"/>
        <item x="92"/>
        <item x="160"/>
        <item x="266"/>
        <item x="46"/>
        <item x="150"/>
        <item x="128"/>
        <item x="201"/>
        <item x="99"/>
        <item x="62"/>
        <item x="41"/>
        <item x="101"/>
        <item x="78"/>
        <item x="226"/>
        <item x="182"/>
        <item x="181"/>
        <item x="70"/>
        <item x="100"/>
        <item x="185"/>
        <item x="147"/>
        <item x="233"/>
        <item x="105"/>
        <item x="176"/>
        <item x="74"/>
        <item x="104"/>
        <item x="253"/>
        <item x="121"/>
        <item x="12"/>
        <item x="205"/>
        <item x="197"/>
        <item x="47"/>
        <item x="151"/>
        <item x="77"/>
        <item x="97"/>
        <item x="229"/>
        <item x="250"/>
        <item x="45"/>
        <item x="228"/>
        <item x="203"/>
        <item x="200"/>
        <item x="225"/>
        <item x="120"/>
        <item x="67"/>
        <item x="159"/>
        <item x="37"/>
        <item x="11"/>
        <item x="79"/>
        <item x="15"/>
        <item x="267"/>
        <item x="108"/>
        <item x="72"/>
        <item x="10"/>
        <item x="76"/>
        <item x="196"/>
        <item x="123"/>
        <item x="202"/>
        <item x="6"/>
        <item x="122"/>
        <item x="9"/>
        <item x="106"/>
        <item x="125"/>
        <item x="175"/>
        <item x="42"/>
        <item x="246"/>
        <item x="124"/>
        <item x="248"/>
        <item x="242"/>
        <item x="35"/>
        <item x="71"/>
        <item x="3"/>
        <item x="223"/>
        <item x="152"/>
        <item x="218"/>
        <item x="95"/>
        <item x="98"/>
        <item x="8"/>
        <item x="65"/>
        <item x="169"/>
        <item x="5"/>
        <item x="217"/>
        <item x="195"/>
        <item x="63"/>
        <item x="118"/>
        <item x="168"/>
        <item x="93"/>
        <item x="219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8">
    <i>
      <x v="12"/>
    </i>
    <i>
      <x v="8"/>
    </i>
    <i>
      <x v="10"/>
    </i>
    <i>
      <x v="15"/>
    </i>
    <i>
      <x v="13"/>
    </i>
    <i>
      <x v="4"/>
    </i>
    <i>
      <x v="7"/>
    </i>
    <i>
      <x/>
    </i>
    <i>
      <x v="3"/>
    </i>
    <i>
      <x v="1"/>
    </i>
    <i>
      <x v="5"/>
    </i>
    <i>
      <x v="16"/>
    </i>
    <i>
      <x v="9"/>
    </i>
    <i>
      <x v="2"/>
    </i>
    <i>
      <x v="14"/>
    </i>
    <i>
      <x v="11"/>
    </i>
    <i>
      <x v="6"/>
    </i>
    <i t="grand">
      <x/>
    </i>
  </rowItems>
  <colItems count="1">
    <i/>
  </colItems>
  <dataFields count="1">
    <dataField name="Suma de Total" fld="9" baseField="0" baseItem="0" numFmtId="170"/>
  </dataFields>
  <formats count="2">
    <format dxfId="3">
      <pivotArea collapsedLevelsAreSubtotals="1" fieldPosition="0">
        <references count="1">
          <reference field="5" count="1">
            <x v="3"/>
          </reference>
        </references>
      </pivotArea>
    </format>
    <format dxfId="2">
      <pivotArea outline="0" collapsedLevelsAreSubtotals="1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E2456-4532-4671-BE1A-CA6622A767F4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3:G14" firstHeaderRow="1" firstDataRow="1" firstDataCol="0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Total" fld="9" baseField="0" baseItem="0" numFmtId="17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888CF-6221-4B27-A66B-309EAFC36AFF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7:G18" firstHeaderRow="1" firstDataRow="1" firstDataCol="0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numFmtId="165" showAll="0"/>
    <pivotField dataField="1" numFmtId="167" showAll="0"/>
    <pivotField numFmtId="168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Cantida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0810A-E17E-478F-A6D7-6E2F5AEA1503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I3" firstHeaderRow="0" firstDataRow="1" firstDataCol="0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numFmtId="165" showAll="0"/>
    <pivotField dataField="1" numFmtId="167" showAll="0"/>
    <pivotField dataField="1" numFmtId="168"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Total" fld="9" baseField="0" baseItem="0" numFmtId="170"/>
    <dataField name="Suma de Cantidad" fld="8" baseField="0" baseItem="0" numFmtId="167"/>
    <dataField name="Suma de Promedio de venta por vendedor" fld="12" baseField="0" baseItem="0" numFmtId="170"/>
  </dataFields>
  <formats count="2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8CFF0-E52A-4813-92CB-C01A319DA307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D2:E20" firstHeaderRow="1" firstDataRow="1" firstDataCol="1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axis="axisRow" showAll="0" sortType="ascending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numFmtId="165" showAll="0"/>
    <pivotField dataField="1" numFmtId="167" showAll="0"/>
    <pivotField numFmtId="168" showAll="0">
      <items count="276">
        <item x="60"/>
        <item x="117"/>
        <item x="167"/>
        <item x="166"/>
        <item x="144"/>
        <item x="61"/>
        <item x="89"/>
        <item x="239"/>
        <item x="114"/>
        <item x="30"/>
        <item x="261"/>
        <item x="55"/>
        <item x="59"/>
        <item x="259"/>
        <item x="116"/>
        <item x="260"/>
        <item x="32"/>
        <item x="237"/>
        <item x="192"/>
        <item x="90"/>
        <item x="143"/>
        <item x="126"/>
        <item x="213"/>
        <item x="216"/>
        <item x="24"/>
        <item x="82"/>
        <item x="190"/>
        <item x="134"/>
        <item x="193"/>
        <item x="54"/>
        <item x="91"/>
        <item x="136"/>
        <item x="50"/>
        <item x="231"/>
        <item x="33"/>
        <item x="257"/>
        <item x="58"/>
        <item x="189"/>
        <item x="139"/>
        <item x="251"/>
        <item x="53"/>
        <item x="29"/>
        <item x="262"/>
        <item x="271"/>
        <item x="88"/>
        <item x="83"/>
        <item x="131"/>
        <item x="165"/>
        <item x="21"/>
        <item x="133"/>
        <item x="191"/>
        <item x="234"/>
        <item x="86"/>
        <item x="28"/>
        <item x="268"/>
        <item x="115"/>
        <item x="132"/>
        <item x="220"/>
        <item x="31"/>
        <item x="27"/>
        <item x="49"/>
        <item x="236"/>
        <item x="240"/>
        <item x="87"/>
        <item x="215"/>
        <item x="238"/>
        <item x="56"/>
        <item x="140"/>
        <item x="52"/>
        <item x="25"/>
        <item x="85"/>
        <item x="129"/>
        <item x="109"/>
        <item x="235"/>
        <item x="57"/>
        <item x="274"/>
        <item x="188"/>
        <item x="96"/>
        <item x="142"/>
        <item x="163"/>
        <item x="254"/>
        <item x="18"/>
        <item x="26"/>
        <item x="157"/>
        <item x="180"/>
        <item x="199"/>
        <item x="214"/>
        <item x="156"/>
        <item x="141"/>
        <item x="112"/>
        <item x="164"/>
        <item x="22"/>
        <item x="177"/>
        <item x="138"/>
        <item x="20"/>
        <item x="183"/>
        <item x="187"/>
        <item x="111"/>
        <item x="39"/>
        <item x="273"/>
        <item x="69"/>
        <item x="64"/>
        <item x="68"/>
        <item x="38"/>
        <item x="227"/>
        <item x="81"/>
        <item x="113"/>
        <item x="212"/>
        <item x="161"/>
        <item x="17"/>
        <item x="149"/>
        <item x="75"/>
        <item x="155"/>
        <item x="135"/>
        <item x="7"/>
        <item x="245"/>
        <item x="224"/>
        <item x="265"/>
        <item x="207"/>
        <item x="84"/>
        <item x="80"/>
        <item x="158"/>
        <item x="170"/>
        <item x="211"/>
        <item x="36"/>
        <item x="103"/>
        <item x="130"/>
        <item x="23"/>
        <item x="222"/>
        <item x="247"/>
        <item x="127"/>
        <item x="221"/>
        <item x="232"/>
        <item x="186"/>
        <item x="40"/>
        <item x="198"/>
        <item x="4"/>
        <item x="209"/>
        <item x="44"/>
        <item x="208"/>
        <item x="51"/>
        <item x="2"/>
        <item x="110"/>
        <item x="270"/>
        <item x="210"/>
        <item x="16"/>
        <item x="243"/>
        <item x="249"/>
        <item x="14"/>
        <item x="43"/>
        <item x="174"/>
        <item x="179"/>
        <item x="137"/>
        <item x="178"/>
        <item x="73"/>
        <item x="153"/>
        <item x="171"/>
        <item x="162"/>
        <item x="19"/>
        <item x="0"/>
        <item x="48"/>
        <item x="258"/>
        <item x="102"/>
        <item x="148"/>
        <item x="173"/>
        <item x="272"/>
        <item x="172"/>
        <item x="264"/>
        <item x="244"/>
        <item x="256"/>
        <item x="241"/>
        <item x="146"/>
        <item x="206"/>
        <item x="154"/>
        <item x="66"/>
        <item x="94"/>
        <item x="119"/>
        <item x="263"/>
        <item x="255"/>
        <item x="269"/>
        <item x="184"/>
        <item x="107"/>
        <item x="34"/>
        <item x="145"/>
        <item x="13"/>
        <item x="1"/>
        <item x="252"/>
        <item x="194"/>
        <item x="204"/>
        <item x="230"/>
        <item x="92"/>
        <item x="160"/>
        <item x="266"/>
        <item x="46"/>
        <item x="150"/>
        <item x="128"/>
        <item x="201"/>
        <item x="99"/>
        <item x="62"/>
        <item x="41"/>
        <item x="101"/>
        <item x="78"/>
        <item x="226"/>
        <item x="182"/>
        <item x="181"/>
        <item x="70"/>
        <item x="100"/>
        <item x="185"/>
        <item x="147"/>
        <item x="233"/>
        <item x="105"/>
        <item x="176"/>
        <item x="74"/>
        <item x="104"/>
        <item x="253"/>
        <item x="121"/>
        <item x="12"/>
        <item x="205"/>
        <item x="197"/>
        <item x="47"/>
        <item x="151"/>
        <item x="77"/>
        <item x="97"/>
        <item x="229"/>
        <item x="250"/>
        <item x="45"/>
        <item x="228"/>
        <item x="203"/>
        <item x="200"/>
        <item x="225"/>
        <item x="120"/>
        <item x="67"/>
        <item x="159"/>
        <item x="37"/>
        <item x="11"/>
        <item x="79"/>
        <item x="15"/>
        <item x="267"/>
        <item x="108"/>
        <item x="72"/>
        <item x="10"/>
        <item x="76"/>
        <item x="196"/>
        <item x="123"/>
        <item x="202"/>
        <item x="6"/>
        <item x="122"/>
        <item x="9"/>
        <item x="106"/>
        <item x="125"/>
        <item x="175"/>
        <item x="42"/>
        <item x="246"/>
        <item x="124"/>
        <item x="248"/>
        <item x="242"/>
        <item x="35"/>
        <item x="71"/>
        <item x="3"/>
        <item x="223"/>
        <item x="152"/>
        <item x="218"/>
        <item x="95"/>
        <item x="98"/>
        <item x="8"/>
        <item x="65"/>
        <item x="169"/>
        <item x="5"/>
        <item x="217"/>
        <item x="195"/>
        <item x="63"/>
        <item x="118"/>
        <item x="168"/>
        <item x="93"/>
        <item x="219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8">
    <i>
      <x v="6"/>
    </i>
    <i>
      <x v="2"/>
    </i>
    <i>
      <x v="14"/>
    </i>
    <i>
      <x v="1"/>
    </i>
    <i>
      <x v="16"/>
    </i>
    <i>
      <x v="11"/>
    </i>
    <i>
      <x v="9"/>
    </i>
    <i>
      <x v="3"/>
    </i>
    <i>
      <x v="5"/>
    </i>
    <i>
      <x v="7"/>
    </i>
    <i>
      <x/>
    </i>
    <i>
      <x v="10"/>
    </i>
    <i>
      <x v="8"/>
    </i>
    <i>
      <x v="13"/>
    </i>
    <i>
      <x v="4"/>
    </i>
    <i>
      <x v="15"/>
    </i>
    <i>
      <x v="12"/>
    </i>
    <i t="grand">
      <x/>
    </i>
  </rowItems>
  <colItems count="1">
    <i/>
  </colItems>
  <dataFields count="1">
    <dataField name="Suma de Cantidad" fld="8" baseField="0" baseItem="0" numFmtId="167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7C193-3C5A-45AA-B257-FEC99936DB55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6:H9" firstHeaderRow="1" firstDataRow="1" firstDataCol="1"/>
  <pivotFields count="13">
    <pivotField numFmtId="166" showAll="0"/>
    <pivotField showAll="0"/>
    <pivotField showAll="0"/>
    <pivotField showAll="0"/>
    <pivotField showAll="0">
      <items count="7">
        <item x="1"/>
        <item x="4"/>
        <item x="3"/>
        <item x="2"/>
        <item x="0"/>
        <item x="5"/>
        <item t="default"/>
      </items>
    </pivotField>
    <pivotField showAll="0">
      <items count="18">
        <item x="7"/>
        <item x="9"/>
        <item x="1"/>
        <item x="5"/>
        <item x="14"/>
        <item x="4"/>
        <item x="12"/>
        <item x="10"/>
        <item x="0"/>
        <item x="16"/>
        <item x="6"/>
        <item x="15"/>
        <item x="3"/>
        <item x="13"/>
        <item x="11"/>
        <item x="8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65" showAll="0"/>
    <pivotField numFmtId="167" showAll="0"/>
    <pivotField dataField="1" numFmtId="168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a de Total" fld="9" baseField="0" baseItem="0" numFmtId="5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61817233-93AB-456F-BA68-169F305821A8}" sourceName="Marca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7"/>
  </pivotTables>
  <data>
    <tabular pivotCacheId="2040607108">
      <items count="11">
        <i x="7" s="1"/>
        <i x="0" s="1"/>
        <i x="9" s="1"/>
        <i x="4" s="1"/>
        <i x="8" s="1"/>
        <i x="1" s="1"/>
        <i x="5" s="1"/>
        <i x="10" s="1"/>
        <i x="6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2FFC3906-2BD6-4577-B6DC-791957B87ECE}" sourceName="Categoría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7"/>
  </pivotTables>
  <data>
    <tabular pivotCacheId="2040607108">
      <items count="6">
        <i x="5" s="1"/>
        <i x="4" s="1"/>
        <i x="3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" xr10:uid="{975708B9-7601-4813-BDF7-B7719CB26702}" sourceName="Local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7"/>
  </pivotTables>
  <data>
    <tabular pivotCacheId="2040607108">
      <items count="6">
        <i x="1" s="1"/>
        <i x="4" s="1"/>
        <i x="3" s="1"/>
        <i x="2" s="1"/>
        <i x="0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de_Pago" xr10:uid="{3FD07222-493E-4567-BAB0-00DEF462FB75}" sourceName="Forma de Pago">
  <pivotTables>
    <pivotTable tabId="7" name="TablaDinámica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7"/>
  </pivotTables>
  <data>
    <tabular pivotCacheId="2040607108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1" xr10:uid="{4E213E7E-D627-4C0A-AD0E-F3EA2BB59128}" sourceName="Local">
  <pivotTables>
    <pivotTable tabId="9" name="TablaDinámica16"/>
    <pivotTable tabId="9" name="TablaDinámica10"/>
    <pivotTable tabId="9" name="TablaDinámica11"/>
    <pivotTable tabId="9" name="TablaDinámica12"/>
    <pivotTable tabId="9" name="TablaDinámica13"/>
    <pivotTable tabId="9" name="TablaDinámica14"/>
    <pivotTable tabId="9" name="TablaDinámica15"/>
    <pivotTable tabId="9" name="TablaDinámica2"/>
  </pivotTables>
  <data>
    <tabular pivotCacheId="2040607108">
      <items count="6">
        <i x="1" s="1"/>
        <i x="4" s="1"/>
        <i x="3" s="1"/>
        <i x="2" s="1"/>
        <i x="0" s="1"/>
        <i x="5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7B0C121E-053C-4185-BF25-217482BC13D7}" sourceName="Vendedor">
  <pivotTables>
    <pivotTable tabId="9" name="TablaDinámica16"/>
    <pivotTable tabId="9" name="TablaDinámica10"/>
    <pivotTable tabId="9" name="TablaDinámica11"/>
    <pivotTable tabId="9" name="TablaDinámica12"/>
    <pivotTable tabId="9" name="TablaDinámica13"/>
    <pivotTable tabId="9" name="TablaDinámica14"/>
    <pivotTable tabId="9" name="TablaDinámica15"/>
    <pivotTable tabId="9" name="TablaDinámica2"/>
  </pivotTables>
  <data>
    <tabular pivotCacheId="2040607108" showMissing="0" crossFilter="none">
      <items count="17">
        <i x="7" s="1"/>
        <i x="9" s="1"/>
        <i x="1" s="1"/>
        <i x="5" s="1"/>
        <i x="14" s="1"/>
        <i x="4" s="1"/>
        <i x="12" s="1"/>
        <i x="10" s="1"/>
        <i x="0" s="1"/>
        <i x="16" s="1"/>
        <i x="6" s="1"/>
        <i x="15" s="1"/>
        <i x="3" s="1"/>
        <i x="13" s="1"/>
        <i x="11" s="1"/>
        <i x="8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de_Pago1" xr10:uid="{B46362E7-925F-425E-AA24-C27D53806A8A}" sourceName="Forma de Pago">
  <pivotTables>
    <pivotTable tabId="9" name="TablaDinámica16"/>
    <pivotTable tabId="9" name="TablaDinámica10"/>
    <pivotTable tabId="9" name="TablaDinámica11"/>
    <pivotTable tabId="9" name="TablaDinámica12"/>
    <pivotTable tabId="9" name="TablaDinámica13"/>
    <pivotTable tabId="9" name="TablaDinámica14"/>
    <pivotTable tabId="9" name="TablaDinámica15"/>
    <pivotTable tabId="9" name="TablaDinámica2"/>
  </pivotTables>
  <data>
    <tabular pivotCacheId="204060710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" xr10:uid="{C1FD1A00-820C-4FEE-9C8C-63D600B51E7A}" cache="SegmentaciónDeDatos_Marca" caption="Marca" columnCount="3" style="SlicerStyleDark6" rowHeight="324000"/>
  <slicer name="Categoría" xr10:uid="{FFB1504E-608F-4873-B341-A0DEEBA63D95}" cache="SegmentaciónDeDatos_Categoría" caption="Categoría" columnCount="3" style="SlicerStyleDark6" rowHeight="324000"/>
  <slicer name="Local" xr10:uid="{29DF5B64-7375-4A03-B4DD-6982BF204A05}" cache="SegmentaciónDeDatos_Local" caption="Local" columnCount="3" style="SlicerStyleDark6" rowHeight="324000"/>
  <slicer name="Forma de Pago" xr10:uid="{4C401493-A48F-4A6A-B06E-F785CED15C72}" cache="SegmentaciónDeDatos_Forma_de_Pago" caption="Forma de Pago" style="SlicerStyleDark6" rowHeight="32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 1" xr10:uid="{B3AE6C90-F962-4299-967C-F65956FD3355}" cache="SegmentaciónDeDatos_Local1" caption="Local" columnCount="2" style="SlicerStyleLight2" rowHeight="241300"/>
  <slicer name="Vendedor" xr10:uid="{BDA46493-FEE1-4407-BBF8-E6DA2C1FA243}" cache="SegmentaciónDeDatos_Vendedor" caption="Vendedor" columnCount="3" style="SlicerStyleLight2" rowHeight="241300"/>
  <slicer name="Forma de Pago 1" xr10:uid="{455EF8BB-A29C-472C-91B8-C9B8C4497041}" cache="SegmentaciónDeDatos_Forma_de_Pago1" caption="Forma de Pago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E3047-B29A-4201-8FC4-970853DD9DF8}" name="Tabla1" displayName="Tabla1" ref="A1:K409" totalsRowShown="0" tableBorderDxfId="17">
  <autoFilter ref="A1:K409" xr:uid="{85EE3047-B29A-4201-8FC4-970853DD9DF8}"/>
  <tableColumns count="11">
    <tableColumn id="1" xr3:uid="{9D5CAB74-8095-4236-9FD1-EBE2572E9A07}" name="Fecha Venta" dataDxfId="16"/>
    <tableColumn id="2" xr3:uid="{85C18766-8EBD-48A7-9953-8B8124F382CC}" name="Producto" dataDxfId="15"/>
    <tableColumn id="3" xr3:uid="{A2A38AFB-07E5-4BA8-B6B7-650F5CD4D18D}" name="Marca" dataDxfId="14"/>
    <tableColumn id="4" xr3:uid="{517DD0EA-AF1A-4D10-AA4A-56663D123100}" name="Categoría" dataDxfId="13"/>
    <tableColumn id="5" xr3:uid="{7907A472-0CEC-46FA-AD54-D8DBCF33CBC2}" name="Local" dataDxfId="12"/>
    <tableColumn id="6" xr3:uid="{98D7ED71-0D73-4819-8DDA-CDB3E7371389}" name="Vendedor" dataDxfId="11"/>
    <tableColumn id="7" xr3:uid="{B8418F22-A973-4CBA-90E1-C9B62A7A1E1C}" name="Forma de Pago" dataDxfId="10"/>
    <tableColumn id="8" xr3:uid="{CEEAF600-FC8D-4070-9D2F-AAA4174B72FF}" name="Precio" dataDxfId="9"/>
    <tableColumn id="9" xr3:uid="{E0ECFC33-3E10-490E-AE84-4C9D7B490718}" name="Cantidad" dataDxfId="8"/>
    <tableColumn id="10" xr3:uid="{A6E658F8-9B3F-4A84-9852-84A84BE133F2}" name="Total" dataDxfId="7">
      <calculatedColumnFormula>H2*I2</calculatedColumnFormula>
    </tableColumn>
    <tableColumn id="11" xr3:uid="{0A1859D8-CE28-416A-8D84-5D685B3EE668}" name="Columna1">
      <calculatedColumnFormula>IF(H2*I2=J2,"SI","Error")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baseColWidth="10" defaultColWidth="14.453125" defaultRowHeight="15" customHeight="1" x14ac:dyDescent="0.35"/>
  <cols>
    <col min="1" max="1" width="12.81640625" customWidth="1"/>
    <col min="2" max="2" width="12.08984375" customWidth="1"/>
    <col min="3" max="3" width="22" customWidth="1"/>
    <col min="4" max="4" width="20.7265625" customWidth="1"/>
    <col min="5" max="6" width="19.81640625" customWidth="1"/>
    <col min="7" max="7" width="10.90625" customWidth="1"/>
    <col min="8" max="26" width="10.7265625" customWidth="1"/>
  </cols>
  <sheetData>
    <row r="1" spans="1:6" ht="57" customHeight="1" x14ac:dyDescent="0.35">
      <c r="A1" s="46" t="s">
        <v>0</v>
      </c>
      <c r="B1" s="47"/>
      <c r="C1" s="47"/>
      <c r="D1" s="47"/>
      <c r="E1" s="47"/>
      <c r="F1" s="48"/>
    </row>
    <row r="2" spans="1:6" ht="14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5" x14ac:dyDescent="0.35">
      <c r="A3" s="2">
        <v>72</v>
      </c>
      <c r="B3" s="2">
        <v>45</v>
      </c>
      <c r="C3" s="2">
        <v>85</v>
      </c>
      <c r="D3" s="2">
        <v>49</v>
      </c>
      <c r="E3" s="2">
        <v>39</v>
      </c>
      <c r="F3" s="2">
        <v>71</v>
      </c>
    </row>
    <row r="4" spans="1:6" ht="14.5" x14ac:dyDescent="0.35">
      <c r="A4" s="2">
        <v>32</v>
      </c>
      <c r="B4" s="2">
        <v>73</v>
      </c>
      <c r="C4" s="2">
        <v>0</v>
      </c>
      <c r="D4" s="2">
        <v>63</v>
      </c>
      <c r="E4" s="2">
        <v>21</v>
      </c>
      <c r="F4" s="2">
        <v>93</v>
      </c>
    </row>
    <row r="5" spans="1:6" ht="14.5" x14ac:dyDescent="0.35">
      <c r="A5" s="2">
        <v>98</v>
      </c>
      <c r="B5" s="2">
        <v>96</v>
      </c>
      <c r="C5" s="2">
        <v>99</v>
      </c>
      <c r="D5" s="2">
        <v>46</v>
      </c>
      <c r="E5" s="2">
        <v>16</v>
      </c>
      <c r="F5" s="2">
        <v>81</v>
      </c>
    </row>
    <row r="6" spans="1:6" ht="14.5" x14ac:dyDescent="0.35">
      <c r="A6" s="2">
        <v>18</v>
      </c>
      <c r="B6" s="2">
        <v>81</v>
      </c>
      <c r="C6" s="2">
        <v>36</v>
      </c>
      <c r="D6" s="2">
        <v>63</v>
      </c>
      <c r="E6" s="2">
        <v>96</v>
      </c>
      <c r="F6" s="2">
        <v>75</v>
      </c>
    </row>
    <row r="7" spans="1:6" ht="14.5" x14ac:dyDescent="0.35">
      <c r="A7" s="2">
        <v>35</v>
      </c>
      <c r="B7" s="2">
        <v>27</v>
      </c>
      <c r="C7" s="2">
        <v>17</v>
      </c>
      <c r="D7" s="2">
        <v>53</v>
      </c>
      <c r="E7" s="2">
        <v>63</v>
      </c>
      <c r="F7" s="2">
        <v>43</v>
      </c>
    </row>
    <row r="8" spans="1:6" ht="14.5" x14ac:dyDescent="0.35">
      <c r="A8" s="2">
        <v>46</v>
      </c>
      <c r="B8" s="2">
        <v>82</v>
      </c>
      <c r="C8" s="2">
        <v>0</v>
      </c>
      <c r="D8" s="2">
        <v>32</v>
      </c>
      <c r="E8" s="2">
        <v>20</v>
      </c>
      <c r="F8" s="2">
        <v>1</v>
      </c>
    </row>
    <row r="9" spans="1:6" ht="14.5" x14ac:dyDescent="0.35">
      <c r="A9" s="2">
        <v>96</v>
      </c>
      <c r="B9" s="2">
        <v>67</v>
      </c>
      <c r="C9" s="2">
        <v>63</v>
      </c>
      <c r="D9" s="2">
        <v>48</v>
      </c>
      <c r="E9" s="2">
        <v>74</v>
      </c>
      <c r="F9" s="2">
        <v>87</v>
      </c>
    </row>
    <row r="10" spans="1:6" ht="14.5" x14ac:dyDescent="0.35">
      <c r="A10" s="2">
        <v>85</v>
      </c>
      <c r="B10" s="2">
        <v>32</v>
      </c>
      <c r="C10" s="2">
        <v>80</v>
      </c>
      <c r="D10" s="2">
        <v>18</v>
      </c>
      <c r="E10" s="2">
        <v>73</v>
      </c>
      <c r="F10" s="2">
        <v>13</v>
      </c>
    </row>
    <row r="11" spans="1:6" ht="14.5" x14ac:dyDescent="0.35">
      <c r="A11" s="2">
        <v>47</v>
      </c>
      <c r="B11" s="2">
        <v>92</v>
      </c>
      <c r="C11" s="2">
        <v>8</v>
      </c>
      <c r="D11" s="2">
        <v>51</v>
      </c>
      <c r="E11" s="2">
        <v>85</v>
      </c>
      <c r="F11" s="2">
        <v>8</v>
      </c>
    </row>
    <row r="12" spans="1:6" ht="14.5" x14ac:dyDescent="0.35">
      <c r="A12" s="2">
        <v>70</v>
      </c>
      <c r="B12" s="2">
        <v>81</v>
      </c>
      <c r="C12" s="2">
        <v>79</v>
      </c>
      <c r="D12" s="2">
        <v>58</v>
      </c>
      <c r="E12" s="2">
        <v>36</v>
      </c>
      <c r="F12" s="2">
        <v>99</v>
      </c>
    </row>
    <row r="13" spans="1:6" ht="14.5" x14ac:dyDescent="0.35">
      <c r="A13" s="2">
        <v>70</v>
      </c>
      <c r="B13" s="2">
        <v>23</v>
      </c>
      <c r="C13" s="2">
        <v>35</v>
      </c>
      <c r="D13" s="2">
        <v>4</v>
      </c>
      <c r="E13" s="2">
        <v>89</v>
      </c>
      <c r="F13" s="2">
        <v>90</v>
      </c>
    </row>
    <row r="14" spans="1:6" ht="14.5" x14ac:dyDescent="0.35">
      <c r="A14" s="2">
        <v>62</v>
      </c>
      <c r="B14" s="2">
        <v>87</v>
      </c>
      <c r="C14" s="2">
        <v>46</v>
      </c>
      <c r="D14" s="2">
        <v>76</v>
      </c>
      <c r="E14" s="2">
        <v>75</v>
      </c>
      <c r="F14" s="2">
        <v>1</v>
      </c>
    </row>
    <row r="15" spans="1:6" ht="14.5" x14ac:dyDescent="0.35">
      <c r="A15" s="2">
        <v>70</v>
      </c>
      <c r="B15" s="2">
        <v>70</v>
      </c>
      <c r="C15" s="2">
        <v>87</v>
      </c>
      <c r="D15" s="2">
        <v>4</v>
      </c>
      <c r="E15" s="2">
        <v>16</v>
      </c>
      <c r="F15" s="2">
        <v>89</v>
      </c>
    </row>
    <row r="16" spans="1:6" ht="14.5" x14ac:dyDescent="0.35">
      <c r="A16" s="2">
        <v>6</v>
      </c>
      <c r="B16" s="2">
        <v>20</v>
      </c>
      <c r="C16" s="2">
        <v>52</v>
      </c>
      <c r="D16" s="2">
        <v>100</v>
      </c>
      <c r="E16" s="2">
        <v>20</v>
      </c>
      <c r="F16" s="2">
        <v>26</v>
      </c>
    </row>
    <row r="17" spans="1:6" ht="14.5" x14ac:dyDescent="0.35">
      <c r="A17" s="2">
        <v>85</v>
      </c>
      <c r="B17" s="2">
        <v>36</v>
      </c>
      <c r="C17" s="2">
        <v>6</v>
      </c>
      <c r="D17" s="2">
        <v>23</v>
      </c>
      <c r="E17" s="2">
        <v>50</v>
      </c>
      <c r="F17" s="2">
        <v>16</v>
      </c>
    </row>
    <row r="18" spans="1:6" ht="14.5" x14ac:dyDescent="0.35">
      <c r="A18" s="2">
        <v>67</v>
      </c>
      <c r="B18" s="2">
        <v>96</v>
      </c>
      <c r="C18" s="2">
        <v>19</v>
      </c>
      <c r="D18" s="2">
        <v>15</v>
      </c>
      <c r="E18" s="2">
        <v>3</v>
      </c>
      <c r="F18" s="2">
        <v>45</v>
      </c>
    </row>
    <row r="19" spans="1:6" ht="14.5" x14ac:dyDescent="0.35">
      <c r="A19" s="2">
        <v>93</v>
      </c>
      <c r="B19" s="2">
        <v>20</v>
      </c>
      <c r="C19" s="2">
        <v>150</v>
      </c>
      <c r="D19" s="2">
        <v>88</v>
      </c>
      <c r="E19" s="2">
        <v>3</v>
      </c>
      <c r="F19" s="2">
        <v>48</v>
      </c>
    </row>
    <row r="20" spans="1:6" ht="14.5" x14ac:dyDescent="0.35">
      <c r="A20" s="2">
        <v>34</v>
      </c>
      <c r="B20" s="2">
        <v>76</v>
      </c>
      <c r="C20" s="2">
        <v>7</v>
      </c>
      <c r="D20" s="2">
        <v>100</v>
      </c>
      <c r="E20" s="2">
        <v>95</v>
      </c>
      <c r="F20" s="2">
        <v>13</v>
      </c>
    </row>
    <row r="21" spans="1:6" ht="15.75" customHeight="1" x14ac:dyDescent="0.35">
      <c r="A21" s="2">
        <v>78</v>
      </c>
      <c r="B21" s="2">
        <v>100</v>
      </c>
      <c r="C21" s="2">
        <v>25</v>
      </c>
      <c r="D21" s="2">
        <v>42</v>
      </c>
      <c r="E21" s="2">
        <v>66</v>
      </c>
      <c r="F21" s="2">
        <v>35</v>
      </c>
    </row>
    <row r="22" spans="1:6" ht="15.75" customHeight="1" x14ac:dyDescent="0.35"/>
    <row r="23" spans="1:6" ht="15.75" customHeight="1" x14ac:dyDescent="0.35"/>
    <row r="24" spans="1:6" ht="15.75" customHeight="1" x14ac:dyDescent="0.35"/>
    <row r="25" spans="1:6" ht="15.75" customHeight="1" x14ac:dyDescent="0.35"/>
    <row r="26" spans="1:6" ht="15.75" customHeight="1" x14ac:dyDescent="0.35"/>
    <row r="27" spans="1:6" ht="15.75" customHeight="1" x14ac:dyDescent="0.35"/>
    <row r="28" spans="1:6" ht="15.75" customHeight="1" x14ac:dyDescent="0.35"/>
    <row r="29" spans="1:6" ht="15.75" customHeight="1" x14ac:dyDescent="0.35"/>
    <row r="30" spans="1:6" ht="15.75" customHeight="1" x14ac:dyDescent="0.35"/>
    <row r="31" spans="1:6" ht="15.75" customHeight="1" x14ac:dyDescent="0.35"/>
    <row r="32" spans="1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53125" defaultRowHeight="15" customHeight="1" x14ac:dyDescent="0.35"/>
  <cols>
    <col min="1" max="1" width="15.453125" customWidth="1"/>
    <col min="2" max="3" width="11.54296875" customWidth="1"/>
    <col min="4" max="7" width="12" customWidth="1"/>
    <col min="8" max="8" width="10.90625" customWidth="1"/>
    <col min="9" max="26" width="10.7265625" customWidth="1"/>
  </cols>
  <sheetData>
    <row r="1" spans="1:7" ht="53" x14ac:dyDescent="0.35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ht="14.5" x14ac:dyDescent="0.35">
      <c r="A2" s="2" t="s">
        <v>14</v>
      </c>
      <c r="B2" s="5">
        <v>8908.7999999999993</v>
      </c>
      <c r="C2" s="5">
        <f t="shared" ref="C2:G2" si="0">B2+890</f>
        <v>9798.7999999999993</v>
      </c>
      <c r="D2" s="5">
        <f t="shared" si="0"/>
        <v>10688.8</v>
      </c>
      <c r="E2" s="5">
        <f t="shared" si="0"/>
        <v>11578.8</v>
      </c>
      <c r="F2" s="5">
        <f t="shared" si="0"/>
        <v>12468.8</v>
      </c>
      <c r="G2" s="5">
        <f t="shared" si="0"/>
        <v>13358.8</v>
      </c>
    </row>
    <row r="3" spans="1:7" ht="14.5" x14ac:dyDescent="0.35">
      <c r="A3" s="2" t="s">
        <v>15</v>
      </c>
      <c r="B3" s="5">
        <v>3453.34</v>
      </c>
      <c r="C3" s="5">
        <f t="shared" ref="C3:G3" si="1">B3+890</f>
        <v>4343.34</v>
      </c>
      <c r="D3" s="5">
        <f t="shared" si="1"/>
        <v>5233.34</v>
      </c>
      <c r="E3" s="5">
        <f t="shared" si="1"/>
        <v>6123.34</v>
      </c>
      <c r="F3" s="5">
        <f t="shared" si="1"/>
        <v>7013.34</v>
      </c>
      <c r="G3" s="5">
        <f t="shared" si="1"/>
        <v>7903.34</v>
      </c>
    </row>
    <row r="4" spans="1:7" ht="14.5" x14ac:dyDescent="0.35">
      <c r="A4" s="2" t="s">
        <v>16</v>
      </c>
      <c r="B4" s="5">
        <v>3291.81</v>
      </c>
      <c r="C4" s="5">
        <f t="shared" ref="C4:G4" si="2">B4+890</f>
        <v>4181.8099999999995</v>
      </c>
      <c r="D4" s="5">
        <f t="shared" si="2"/>
        <v>5071.8099999999995</v>
      </c>
      <c r="E4" s="5">
        <f t="shared" si="2"/>
        <v>5961.8099999999995</v>
      </c>
      <c r="F4" s="5">
        <f t="shared" si="2"/>
        <v>6851.8099999999995</v>
      </c>
      <c r="G4" s="5">
        <f t="shared" si="2"/>
        <v>7741.8099999999995</v>
      </c>
    </row>
    <row r="5" spans="1:7" ht="14.5" x14ac:dyDescent="0.35">
      <c r="A5" s="2" t="s">
        <v>17</v>
      </c>
      <c r="B5" s="5">
        <v>6688</v>
      </c>
      <c r="C5" s="5">
        <f t="shared" ref="C5:G5" si="3">B5+890</f>
        <v>7578</v>
      </c>
      <c r="D5" s="5">
        <f t="shared" si="3"/>
        <v>8468</v>
      </c>
      <c r="E5" s="5">
        <f t="shared" si="3"/>
        <v>9358</v>
      </c>
      <c r="F5" s="5">
        <f t="shared" si="3"/>
        <v>10248</v>
      </c>
      <c r="G5" s="5">
        <f t="shared" si="3"/>
        <v>11138</v>
      </c>
    </row>
    <row r="8" spans="1:7" ht="14.5" x14ac:dyDescent="0.35">
      <c r="A8" s="49" t="s">
        <v>18</v>
      </c>
      <c r="B8" s="50"/>
      <c r="C8" s="50"/>
      <c r="D8" s="50"/>
      <c r="E8" s="50"/>
      <c r="F8" s="50"/>
      <c r="G8" s="50"/>
    </row>
    <row r="9" spans="1:7" ht="15" customHeight="1" x14ac:dyDescent="0.35">
      <c r="A9" s="50"/>
      <c r="B9" s="50"/>
      <c r="C9" s="50"/>
      <c r="D9" s="50"/>
      <c r="E9" s="50"/>
      <c r="F9" s="50"/>
      <c r="G9" s="50"/>
    </row>
    <row r="10" spans="1:7" ht="15" customHeight="1" x14ac:dyDescent="0.35">
      <c r="A10" s="50"/>
      <c r="B10" s="50"/>
      <c r="C10" s="50"/>
      <c r="D10" s="50"/>
      <c r="E10" s="50"/>
      <c r="F10" s="50"/>
      <c r="G10" s="50"/>
    </row>
    <row r="11" spans="1:7" ht="15" customHeight="1" x14ac:dyDescent="0.35">
      <c r="A11" s="50"/>
      <c r="B11" s="50"/>
      <c r="C11" s="50"/>
      <c r="D11" s="50"/>
      <c r="E11" s="50"/>
      <c r="F11" s="50"/>
      <c r="G11" s="50"/>
    </row>
    <row r="12" spans="1:7" ht="15" customHeight="1" x14ac:dyDescent="0.35">
      <c r="A12" s="50"/>
      <c r="B12" s="50"/>
      <c r="C12" s="50"/>
      <c r="D12" s="50"/>
      <c r="E12" s="50"/>
      <c r="F12" s="50"/>
      <c r="G12" s="50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8:G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4.453125" defaultRowHeight="15" customHeight="1" x14ac:dyDescent="0.35"/>
  <cols>
    <col min="1" max="9" width="10.90625" customWidth="1"/>
    <col min="10" max="10" width="11.7265625" customWidth="1"/>
    <col min="11" max="12" width="10.90625" customWidth="1"/>
    <col min="13" max="26" width="10.7265625" customWidth="1"/>
  </cols>
  <sheetData>
    <row r="1" spans="1:11" ht="62" x14ac:dyDescent="0.3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7" t="s">
        <v>26</v>
      </c>
      <c r="I1" s="7" t="s">
        <v>27</v>
      </c>
      <c r="J1" s="7" t="s">
        <v>28</v>
      </c>
      <c r="K1" s="7" t="s">
        <v>29</v>
      </c>
    </row>
    <row r="3" spans="1:11" ht="15.5" x14ac:dyDescent="0.35">
      <c r="A3" s="8" t="s">
        <v>30</v>
      </c>
      <c r="B3" s="9">
        <v>150</v>
      </c>
      <c r="C3" s="9">
        <v>130</v>
      </c>
      <c r="D3" s="9">
        <v>175</v>
      </c>
      <c r="E3" s="9">
        <v>210</v>
      </c>
      <c r="F3" s="9">
        <v>145</v>
      </c>
      <c r="G3" s="9">
        <v>165</v>
      </c>
      <c r="H3" s="10"/>
      <c r="I3" s="10"/>
      <c r="J3" s="9"/>
      <c r="K3" s="9"/>
    </row>
    <row r="4" spans="1:11" ht="15.5" x14ac:dyDescent="0.35">
      <c r="A4" s="8" t="s">
        <v>31</v>
      </c>
      <c r="B4" s="9">
        <v>130</v>
      </c>
      <c r="C4" s="9">
        <v>191</v>
      </c>
      <c r="D4" s="9">
        <v>180</v>
      </c>
      <c r="E4" s="9">
        <v>160</v>
      </c>
      <c r="F4" s="9">
        <v>185</v>
      </c>
      <c r="G4" s="9">
        <v>265</v>
      </c>
      <c r="H4" s="10"/>
      <c r="I4" s="10"/>
      <c r="J4" s="9"/>
      <c r="K4" s="10"/>
    </row>
    <row r="5" spans="1:11" ht="15.5" x14ac:dyDescent="0.35">
      <c r="A5" s="8" t="s">
        <v>32</v>
      </c>
      <c r="B5" s="9">
        <v>150</v>
      </c>
      <c r="C5" s="9">
        <v>210</v>
      </c>
      <c r="D5" s="9">
        <v>130</v>
      </c>
      <c r="E5" s="9">
        <v>134</v>
      </c>
      <c r="F5" s="9">
        <v>120</v>
      </c>
      <c r="G5" s="9">
        <v>156</v>
      </c>
      <c r="H5" s="10"/>
      <c r="I5" s="10"/>
      <c r="J5" s="9"/>
      <c r="K5" s="9"/>
    </row>
    <row r="6" spans="1:11" ht="15.5" x14ac:dyDescent="0.35">
      <c r="A6" s="8" t="s">
        <v>33</v>
      </c>
      <c r="B6" s="9">
        <v>89</v>
      </c>
      <c r="C6" s="9">
        <v>100</v>
      </c>
      <c r="D6" s="9">
        <v>105</v>
      </c>
      <c r="E6" s="9">
        <v>110</v>
      </c>
      <c r="F6" s="9">
        <v>105</v>
      </c>
      <c r="G6" s="9">
        <v>103</v>
      </c>
      <c r="H6" s="10"/>
      <c r="I6" s="9"/>
      <c r="J6" s="9"/>
      <c r="K6" s="9"/>
    </row>
    <row r="7" spans="1:11" ht="15.5" x14ac:dyDescent="0.35">
      <c r="A7" s="8" t="s">
        <v>34</v>
      </c>
      <c r="B7" s="9">
        <v>34</v>
      </c>
      <c r="C7" s="9">
        <v>56</v>
      </c>
      <c r="D7" s="9">
        <v>76</v>
      </c>
      <c r="E7" s="9">
        <v>66</v>
      </c>
      <c r="F7" s="9">
        <v>55</v>
      </c>
      <c r="G7" s="9">
        <v>88</v>
      </c>
      <c r="H7" s="10"/>
      <c r="I7" s="9"/>
      <c r="J7" s="9"/>
      <c r="K7" s="9"/>
    </row>
    <row r="10" spans="1:11" ht="15.5" x14ac:dyDescent="0.35">
      <c r="A10" s="11" t="s">
        <v>26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6" spans="1:11" ht="15.5" x14ac:dyDescent="0.35">
      <c r="A16" s="12" t="s">
        <v>35</v>
      </c>
      <c r="B16" s="12"/>
      <c r="C16" s="12"/>
      <c r="D16" s="12"/>
      <c r="E16" s="12"/>
    </row>
    <row r="18" spans="1:7" ht="15.5" x14ac:dyDescent="0.35">
      <c r="A18" s="11" t="s">
        <v>36</v>
      </c>
      <c r="B18" s="11"/>
      <c r="C18" s="11"/>
      <c r="D18" s="11"/>
      <c r="E18" s="11"/>
    </row>
    <row r="19" spans="1:7" ht="15.5" x14ac:dyDescent="0.35">
      <c r="A19" s="51" t="s">
        <v>37</v>
      </c>
      <c r="B19" s="50"/>
      <c r="C19" s="50"/>
      <c r="D19" s="50"/>
      <c r="E19" s="50"/>
      <c r="F19" s="50"/>
      <c r="G19" s="50"/>
    </row>
    <row r="20" spans="1:7" ht="15.5" x14ac:dyDescent="0.35">
      <c r="A20" s="51" t="s">
        <v>38</v>
      </c>
      <c r="B20" s="50"/>
      <c r="C20" s="50"/>
      <c r="D20" s="50"/>
      <c r="E20" s="50"/>
      <c r="F20" s="50"/>
      <c r="G20" s="50"/>
    </row>
    <row r="21" spans="1:7" ht="15.75" customHeight="1" x14ac:dyDescent="0.35"/>
    <row r="22" spans="1:7" ht="15.75" customHeight="1" x14ac:dyDescent="0.35"/>
    <row r="23" spans="1:7" ht="15.75" customHeight="1" x14ac:dyDescent="0.35"/>
    <row r="24" spans="1:7" ht="15.75" customHeight="1" x14ac:dyDescent="0.35"/>
    <row r="25" spans="1:7" ht="15.75" customHeight="1" x14ac:dyDescent="0.35"/>
    <row r="26" spans="1:7" ht="15.75" customHeight="1" x14ac:dyDescent="0.35"/>
    <row r="27" spans="1:7" ht="15.75" customHeight="1" x14ac:dyDescent="0.35"/>
    <row r="28" spans="1:7" ht="15.75" customHeight="1" x14ac:dyDescent="0.35"/>
    <row r="29" spans="1:7" ht="15.75" customHeight="1" x14ac:dyDescent="0.35"/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9:G19"/>
    <mergeCell ref="A20:G2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16B1-7282-4B06-9A45-81CA59C210CB}">
  <dimension ref="A3:K57"/>
  <sheetViews>
    <sheetView topLeftCell="B7" workbookViewId="0">
      <selection activeCell="E14" sqref="E14"/>
    </sheetView>
  </sheetViews>
  <sheetFormatPr baseColWidth="10" defaultRowHeight="14.5" x14ac:dyDescent="0.35"/>
  <cols>
    <col min="1" max="1" width="16.54296875" bestFit="1" customWidth="1"/>
    <col min="2" max="2" width="12.7265625" bestFit="1" customWidth="1"/>
    <col min="3" max="3" width="16.08984375" bestFit="1" customWidth="1"/>
    <col min="4" max="4" width="12.7265625" bestFit="1" customWidth="1"/>
    <col min="5" max="5" width="16.08984375" bestFit="1" customWidth="1"/>
    <col min="6" max="6" width="13.1796875" bestFit="1" customWidth="1"/>
    <col min="7" max="7" width="8.81640625" bestFit="1" customWidth="1"/>
    <col min="8" max="8" width="17.08984375" bestFit="1" customWidth="1"/>
    <col min="9" max="9" width="8.81640625" bestFit="1" customWidth="1"/>
    <col min="10" max="10" width="10.81640625" bestFit="1" customWidth="1"/>
    <col min="11" max="11" width="11.7265625" bestFit="1" customWidth="1"/>
  </cols>
  <sheetData>
    <row r="3" spans="1:7" x14ac:dyDescent="0.35">
      <c r="A3" s="34" t="s">
        <v>120</v>
      </c>
      <c r="B3" t="s">
        <v>118</v>
      </c>
      <c r="C3" t="s">
        <v>119</v>
      </c>
      <c r="E3" t="s">
        <v>118</v>
      </c>
    </row>
    <row r="4" spans="1:7" x14ac:dyDescent="0.35">
      <c r="A4" s="37" t="s">
        <v>111</v>
      </c>
      <c r="B4" s="38">
        <v>290</v>
      </c>
      <c r="C4" s="36">
        <v>10</v>
      </c>
      <c r="E4" s="35">
        <v>6461271</v>
      </c>
    </row>
    <row r="5" spans="1:7" x14ac:dyDescent="0.35">
      <c r="A5" s="37" t="s">
        <v>110</v>
      </c>
      <c r="B5" s="38">
        <v>356</v>
      </c>
      <c r="C5" s="36">
        <v>4</v>
      </c>
    </row>
    <row r="6" spans="1:7" x14ac:dyDescent="0.35">
      <c r="A6" s="37" t="s">
        <v>109</v>
      </c>
      <c r="B6" s="38">
        <v>4245</v>
      </c>
      <c r="C6" s="36">
        <v>5</v>
      </c>
    </row>
    <row r="7" spans="1:7" x14ac:dyDescent="0.35">
      <c r="A7" s="37" t="s">
        <v>105</v>
      </c>
      <c r="B7" s="38">
        <v>6591</v>
      </c>
      <c r="C7" s="36">
        <v>169</v>
      </c>
    </row>
    <row r="8" spans="1:7" x14ac:dyDescent="0.35">
      <c r="A8" s="37" t="s">
        <v>96</v>
      </c>
      <c r="B8" s="38">
        <v>10680</v>
      </c>
      <c r="C8" s="36">
        <v>120</v>
      </c>
      <c r="E8" t="s">
        <v>119</v>
      </c>
    </row>
    <row r="9" spans="1:7" x14ac:dyDescent="0.35">
      <c r="A9" s="37" t="s">
        <v>104</v>
      </c>
      <c r="B9" s="38">
        <v>12555</v>
      </c>
      <c r="C9" s="36">
        <v>81</v>
      </c>
      <c r="E9" s="36">
        <v>8398</v>
      </c>
    </row>
    <row r="10" spans="1:7" x14ac:dyDescent="0.35">
      <c r="A10" s="37" t="s">
        <v>114</v>
      </c>
      <c r="B10" s="38">
        <v>17970</v>
      </c>
      <c r="C10" s="36">
        <v>30</v>
      </c>
    </row>
    <row r="11" spans="1:7" x14ac:dyDescent="0.35">
      <c r="A11" s="37" t="s">
        <v>94</v>
      </c>
      <c r="B11" s="38">
        <v>19206</v>
      </c>
      <c r="C11" s="36">
        <v>194</v>
      </c>
    </row>
    <row r="12" spans="1:7" x14ac:dyDescent="0.35">
      <c r="A12" s="37" t="s">
        <v>89</v>
      </c>
      <c r="B12" s="38">
        <v>28290</v>
      </c>
      <c r="C12" s="36">
        <v>210</v>
      </c>
      <c r="E12" s="39" t="s">
        <v>122</v>
      </c>
    </row>
    <row r="13" spans="1:7" x14ac:dyDescent="0.35">
      <c r="A13" s="37" t="s">
        <v>113</v>
      </c>
      <c r="B13" s="38">
        <v>30825</v>
      </c>
      <c r="C13" s="36">
        <v>45</v>
      </c>
      <c r="E13" s="40">
        <f>GETPIVOTDATA("suma total",$E$15)/GETPIVOTDATA("Suma de Cantidad",$E$15)</f>
        <v>769.38211478923552</v>
      </c>
    </row>
    <row r="14" spans="1:7" x14ac:dyDescent="0.35">
      <c r="A14" s="37" t="s">
        <v>86</v>
      </c>
      <c r="B14" s="38">
        <v>36660</v>
      </c>
      <c r="C14" s="36">
        <v>188</v>
      </c>
    </row>
    <row r="15" spans="1:7" x14ac:dyDescent="0.35">
      <c r="A15" s="37" t="s">
        <v>95</v>
      </c>
      <c r="B15" s="38">
        <v>55086</v>
      </c>
      <c r="C15" s="36">
        <v>634</v>
      </c>
      <c r="E15" t="s">
        <v>126</v>
      </c>
      <c r="F15" t="s">
        <v>119</v>
      </c>
      <c r="G15" t="s">
        <v>127</v>
      </c>
    </row>
    <row r="16" spans="1:7" x14ac:dyDescent="0.35">
      <c r="A16" s="37" t="s">
        <v>91</v>
      </c>
      <c r="B16" s="38">
        <v>83066</v>
      </c>
      <c r="C16" s="36">
        <v>614</v>
      </c>
      <c r="E16" s="35">
        <v>6461271</v>
      </c>
      <c r="F16" s="36">
        <v>8398</v>
      </c>
      <c r="G16" s="41">
        <v>769.38211478923552</v>
      </c>
    </row>
    <row r="17" spans="1:3" x14ac:dyDescent="0.35">
      <c r="A17" s="37" t="s">
        <v>107</v>
      </c>
      <c r="B17" s="38">
        <v>119567</v>
      </c>
      <c r="C17" s="36">
        <v>133</v>
      </c>
    </row>
    <row r="18" spans="1:3" x14ac:dyDescent="0.35">
      <c r="A18" s="37" t="s">
        <v>98</v>
      </c>
      <c r="B18" s="38">
        <v>282007</v>
      </c>
      <c r="C18" s="36">
        <v>373</v>
      </c>
    </row>
    <row r="19" spans="1:3" x14ac:dyDescent="0.35">
      <c r="A19" s="37" t="s">
        <v>102</v>
      </c>
      <c r="B19" s="38">
        <v>307872</v>
      </c>
      <c r="C19" s="36">
        <v>328</v>
      </c>
    </row>
    <row r="20" spans="1:3" x14ac:dyDescent="0.35">
      <c r="A20" s="37" t="s">
        <v>82</v>
      </c>
      <c r="B20" s="38">
        <v>323925</v>
      </c>
      <c r="C20" s="36">
        <v>1215</v>
      </c>
    </row>
    <row r="21" spans="1:3" x14ac:dyDescent="0.35">
      <c r="A21" s="37" t="s">
        <v>74</v>
      </c>
      <c r="B21" s="38">
        <v>329658</v>
      </c>
      <c r="C21" s="36">
        <v>282</v>
      </c>
    </row>
    <row r="22" spans="1:3" x14ac:dyDescent="0.35">
      <c r="A22" s="37" t="s">
        <v>100</v>
      </c>
      <c r="B22" s="38">
        <v>372478</v>
      </c>
      <c r="C22" s="36">
        <v>382</v>
      </c>
    </row>
    <row r="23" spans="1:3" x14ac:dyDescent="0.35">
      <c r="A23" s="37" t="s">
        <v>80</v>
      </c>
      <c r="B23" s="38">
        <v>372627</v>
      </c>
      <c r="C23" s="36">
        <v>373</v>
      </c>
    </row>
    <row r="24" spans="1:3" x14ac:dyDescent="0.35">
      <c r="A24" s="37" t="s">
        <v>66</v>
      </c>
      <c r="B24" s="38">
        <v>510935</v>
      </c>
      <c r="C24" s="36">
        <v>435</v>
      </c>
    </row>
    <row r="25" spans="1:3" x14ac:dyDescent="0.35">
      <c r="A25" s="37" t="s">
        <v>76</v>
      </c>
      <c r="B25" s="38">
        <v>521011</v>
      </c>
      <c r="C25" s="36">
        <v>514</v>
      </c>
    </row>
    <row r="26" spans="1:3" x14ac:dyDescent="0.35">
      <c r="A26" s="37" t="s">
        <v>47</v>
      </c>
      <c r="B26" s="38">
        <v>951051</v>
      </c>
      <c r="C26" s="36">
        <v>449</v>
      </c>
    </row>
    <row r="27" spans="1:3" x14ac:dyDescent="0.35">
      <c r="A27" s="37" t="s">
        <v>61</v>
      </c>
      <c r="B27" s="38">
        <v>1009459</v>
      </c>
      <c r="C27" s="36">
        <v>841</v>
      </c>
    </row>
    <row r="28" spans="1:3" x14ac:dyDescent="0.35">
      <c r="A28" s="37" t="s">
        <v>53</v>
      </c>
      <c r="B28" s="38">
        <v>1054861</v>
      </c>
      <c r="C28" s="36">
        <v>769</v>
      </c>
    </row>
    <row r="29" spans="1:3" x14ac:dyDescent="0.35">
      <c r="A29" s="37" t="s">
        <v>121</v>
      </c>
      <c r="B29" s="38">
        <v>6461271</v>
      </c>
      <c r="C29" s="36">
        <v>8398</v>
      </c>
    </row>
    <row r="34" spans="1:11" x14ac:dyDescent="0.35">
      <c r="A34" s="34" t="s">
        <v>120</v>
      </c>
      <c r="B34" t="s">
        <v>118</v>
      </c>
      <c r="D34" s="34" t="s">
        <v>120</v>
      </c>
      <c r="E34" t="s">
        <v>118</v>
      </c>
    </row>
    <row r="35" spans="1:11" x14ac:dyDescent="0.35">
      <c r="A35" s="37" t="s">
        <v>62</v>
      </c>
      <c r="B35" s="38">
        <v>1244140</v>
      </c>
      <c r="D35" s="37" t="s">
        <v>57</v>
      </c>
      <c r="E35" s="38">
        <v>3706843</v>
      </c>
    </row>
    <row r="36" spans="1:11" x14ac:dyDescent="0.35">
      <c r="A36" s="37" t="s">
        <v>50</v>
      </c>
      <c r="B36" s="38">
        <v>1176028</v>
      </c>
      <c r="D36" s="37" t="s">
        <v>52</v>
      </c>
      <c r="E36" s="38">
        <v>2754428</v>
      </c>
    </row>
    <row r="37" spans="1:11" x14ac:dyDescent="0.35">
      <c r="A37" s="37" t="s">
        <v>67</v>
      </c>
      <c r="B37" s="38">
        <v>1045443</v>
      </c>
      <c r="D37" s="37" t="s">
        <v>121</v>
      </c>
      <c r="E37" s="38">
        <v>6461271</v>
      </c>
    </row>
    <row r="38" spans="1:11" x14ac:dyDescent="0.35">
      <c r="A38" s="37" t="s">
        <v>55</v>
      </c>
      <c r="B38" s="38">
        <v>1039774</v>
      </c>
    </row>
    <row r="39" spans="1:11" x14ac:dyDescent="0.35">
      <c r="A39" s="37" t="s">
        <v>59</v>
      </c>
      <c r="B39" s="38">
        <v>1013346</v>
      </c>
    </row>
    <row r="40" spans="1:11" x14ac:dyDescent="0.35">
      <c r="A40" s="37" t="s">
        <v>72</v>
      </c>
      <c r="B40" s="38">
        <v>942540</v>
      </c>
    </row>
    <row r="41" spans="1:11" x14ac:dyDescent="0.35">
      <c r="A41" s="37" t="s">
        <v>121</v>
      </c>
      <c r="B41" s="38">
        <v>6461271</v>
      </c>
    </row>
    <row r="45" spans="1:11" x14ac:dyDescent="0.35">
      <c r="A45" s="34" t="s">
        <v>120</v>
      </c>
      <c r="B45" t="s">
        <v>118</v>
      </c>
      <c r="E45" s="34" t="s">
        <v>128</v>
      </c>
    </row>
    <row r="46" spans="1:11" x14ac:dyDescent="0.35">
      <c r="A46" s="37" t="s">
        <v>58</v>
      </c>
      <c r="B46" s="38">
        <v>1851827</v>
      </c>
      <c r="E46" t="s">
        <v>49</v>
      </c>
      <c r="F46" t="s">
        <v>77</v>
      </c>
      <c r="G46" t="s">
        <v>87</v>
      </c>
      <c r="H46" t="s">
        <v>108</v>
      </c>
      <c r="I46" t="s">
        <v>92</v>
      </c>
      <c r="J46" t="s">
        <v>90</v>
      </c>
      <c r="K46" t="s">
        <v>121</v>
      </c>
    </row>
    <row r="47" spans="1:11" x14ac:dyDescent="0.35">
      <c r="A47" s="37" t="s">
        <v>64</v>
      </c>
      <c r="B47" s="38">
        <v>1186789</v>
      </c>
      <c r="D47" t="s">
        <v>118</v>
      </c>
      <c r="E47" s="38">
        <v>4818321</v>
      </c>
      <c r="F47" s="38">
        <v>1270603</v>
      </c>
      <c r="G47" s="38">
        <v>123507</v>
      </c>
      <c r="H47" s="38">
        <v>119567</v>
      </c>
      <c r="I47" s="38">
        <v>100983</v>
      </c>
      <c r="J47" s="38">
        <v>28290</v>
      </c>
      <c r="K47" s="38">
        <v>6461271</v>
      </c>
    </row>
    <row r="48" spans="1:11" x14ac:dyDescent="0.35">
      <c r="A48" s="37" t="s">
        <v>54</v>
      </c>
      <c r="B48" s="38">
        <v>982174</v>
      </c>
    </row>
    <row r="49" spans="1:2" x14ac:dyDescent="0.35">
      <c r="A49" s="37" t="s">
        <v>48</v>
      </c>
      <c r="B49" s="38">
        <v>702210</v>
      </c>
    </row>
    <row r="50" spans="1:2" x14ac:dyDescent="0.35">
      <c r="A50" s="37" t="s">
        <v>69</v>
      </c>
      <c r="B50" s="38">
        <v>557267</v>
      </c>
    </row>
    <row r="51" spans="1:2" x14ac:dyDescent="0.35">
      <c r="A51" s="37" t="s">
        <v>97</v>
      </c>
      <c r="B51" s="38">
        <v>553561</v>
      </c>
    </row>
    <row r="52" spans="1:2" x14ac:dyDescent="0.35">
      <c r="A52" s="37" t="s">
        <v>71</v>
      </c>
      <c r="B52" s="38">
        <v>330935</v>
      </c>
    </row>
    <row r="53" spans="1:2" x14ac:dyDescent="0.35">
      <c r="A53" s="37" t="s">
        <v>106</v>
      </c>
      <c r="B53" s="38">
        <v>122897</v>
      </c>
    </row>
    <row r="54" spans="1:2" x14ac:dyDescent="0.35">
      <c r="A54" s="37" t="s">
        <v>93</v>
      </c>
      <c r="B54" s="38">
        <v>75689</v>
      </c>
    </row>
    <row r="55" spans="1:2" x14ac:dyDescent="0.35">
      <c r="A55" s="37" t="s">
        <v>101</v>
      </c>
      <c r="B55" s="38">
        <v>63962</v>
      </c>
    </row>
    <row r="56" spans="1:2" x14ac:dyDescent="0.35">
      <c r="A56" s="37" t="s">
        <v>103</v>
      </c>
      <c r="B56" s="38">
        <v>33960</v>
      </c>
    </row>
    <row r="57" spans="1:2" x14ac:dyDescent="0.35">
      <c r="A57" s="37" t="s">
        <v>121</v>
      </c>
      <c r="B57" s="38">
        <v>6461271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9"/>
  <sheetViews>
    <sheetView workbookViewId="0">
      <selection activeCell="K1" sqref="K1:K1048576"/>
    </sheetView>
  </sheetViews>
  <sheetFormatPr baseColWidth="10" defaultColWidth="14.453125" defaultRowHeight="14.5" x14ac:dyDescent="0.35"/>
  <cols>
    <col min="1" max="1" width="12.7265625" customWidth="1"/>
    <col min="2" max="2" width="44.54296875" customWidth="1"/>
    <col min="3" max="3" width="13.08984375" customWidth="1"/>
    <col min="4" max="4" width="18.54296875" customWidth="1"/>
    <col min="5" max="5" width="12.7265625" customWidth="1"/>
    <col min="6" max="6" width="10.81640625" customWidth="1"/>
    <col min="7" max="7" width="14.90625" customWidth="1"/>
    <col min="8" max="8" width="12.81640625" customWidth="1"/>
    <col min="9" max="9" width="10.6328125" customWidth="1"/>
    <col min="10" max="10" width="12.1796875" customWidth="1"/>
    <col min="11" max="11" width="11.26953125" hidden="1" customWidth="1"/>
    <col min="12" max="15" width="10.90625" customWidth="1"/>
    <col min="16" max="24" width="10.7265625" customWidth="1"/>
  </cols>
  <sheetData>
    <row r="1" spans="1:14" x14ac:dyDescent="0.35">
      <c r="A1" s="31" t="s">
        <v>116</v>
      </c>
      <c r="B1" s="13" t="s">
        <v>39</v>
      </c>
      <c r="C1" s="13" t="s">
        <v>40</v>
      </c>
      <c r="D1" s="13" t="s">
        <v>41</v>
      </c>
      <c r="E1" s="13" t="s">
        <v>42</v>
      </c>
      <c r="F1" s="13" t="s">
        <v>43</v>
      </c>
      <c r="G1" s="14" t="s">
        <v>115</v>
      </c>
      <c r="H1" s="15" t="s">
        <v>44</v>
      </c>
      <c r="I1" s="16" t="s">
        <v>45</v>
      </c>
      <c r="J1" s="17" t="s">
        <v>46</v>
      </c>
      <c r="K1" t="s">
        <v>117</v>
      </c>
    </row>
    <row r="2" spans="1:14" x14ac:dyDescent="0.35">
      <c r="A2" s="32">
        <v>43324</v>
      </c>
      <c r="B2" s="18" t="s">
        <v>47</v>
      </c>
      <c r="C2" s="18" t="s">
        <v>48</v>
      </c>
      <c r="D2" s="18" t="s">
        <v>49</v>
      </c>
      <c r="E2" s="18" t="s">
        <v>50</v>
      </c>
      <c r="F2" s="18" t="s">
        <v>51</v>
      </c>
      <c r="G2" s="18" t="s">
        <v>52</v>
      </c>
      <c r="H2" s="19">
        <v>2279</v>
      </c>
      <c r="I2" s="20">
        <v>5</v>
      </c>
      <c r="J2" s="21">
        <f t="shared" ref="J2:J256" si="0">H2*I2</f>
        <v>11395</v>
      </c>
      <c r="K2" t="str">
        <f>IF(H2*I2=J2,"SI","Error")</f>
        <v>SI</v>
      </c>
    </row>
    <row r="3" spans="1:14" x14ac:dyDescent="0.35">
      <c r="A3" s="33">
        <v>43324</v>
      </c>
      <c r="B3" s="22" t="s">
        <v>53</v>
      </c>
      <c r="C3" s="22" t="s">
        <v>54</v>
      </c>
      <c r="D3" s="22" t="s">
        <v>49</v>
      </c>
      <c r="E3" s="22" t="s">
        <v>55</v>
      </c>
      <c r="F3" s="22" t="s">
        <v>56</v>
      </c>
      <c r="G3" s="22" t="s">
        <v>57</v>
      </c>
      <c r="H3" s="23">
        <v>1579</v>
      </c>
      <c r="I3" s="24">
        <v>15</v>
      </c>
      <c r="J3" s="25">
        <f t="shared" si="0"/>
        <v>23685</v>
      </c>
      <c r="K3" t="str">
        <f t="shared" ref="K3:K66" si="1">IF(H3*I3=J3,"SI","Error")</f>
        <v>SI</v>
      </c>
    </row>
    <row r="4" spans="1:14" x14ac:dyDescent="0.35">
      <c r="A4" s="33">
        <v>43324</v>
      </c>
      <c r="B4" s="22" t="s">
        <v>53</v>
      </c>
      <c r="C4" s="22" t="s">
        <v>58</v>
      </c>
      <c r="D4" s="22" t="s">
        <v>49</v>
      </c>
      <c r="E4" s="22" t="s">
        <v>59</v>
      </c>
      <c r="F4" s="22" t="s">
        <v>60</v>
      </c>
      <c r="G4" s="22" t="s">
        <v>57</v>
      </c>
      <c r="H4" s="23">
        <v>1579</v>
      </c>
      <c r="I4" s="24">
        <v>6</v>
      </c>
      <c r="J4" s="25">
        <f t="shared" si="0"/>
        <v>9474</v>
      </c>
      <c r="K4" t="str">
        <f t="shared" si="1"/>
        <v>SI</v>
      </c>
    </row>
    <row r="5" spans="1:14" x14ac:dyDescent="0.35">
      <c r="A5" s="33">
        <v>43324</v>
      </c>
      <c r="B5" s="22" t="s">
        <v>61</v>
      </c>
      <c r="C5" s="22" t="s">
        <v>48</v>
      </c>
      <c r="D5" s="22" t="s">
        <v>49</v>
      </c>
      <c r="E5" s="22" t="s">
        <v>62</v>
      </c>
      <c r="F5" s="22" t="s">
        <v>63</v>
      </c>
      <c r="G5" s="22" t="s">
        <v>57</v>
      </c>
      <c r="H5" s="23">
        <v>1399</v>
      </c>
      <c r="I5" s="24">
        <v>36</v>
      </c>
      <c r="J5" s="25">
        <f t="shared" si="0"/>
        <v>50364</v>
      </c>
      <c r="K5" t="str">
        <f t="shared" si="1"/>
        <v>SI</v>
      </c>
      <c r="L5" s="26"/>
      <c r="M5" s="26"/>
      <c r="N5" s="26"/>
    </row>
    <row r="6" spans="1:14" x14ac:dyDescent="0.35">
      <c r="A6" s="33">
        <v>43324</v>
      </c>
      <c r="B6" s="22" t="s">
        <v>53</v>
      </c>
      <c r="C6" s="22" t="s">
        <v>64</v>
      </c>
      <c r="D6" s="22" t="s">
        <v>49</v>
      </c>
      <c r="E6" s="22" t="s">
        <v>55</v>
      </c>
      <c r="F6" s="22" t="s">
        <v>65</v>
      </c>
      <c r="G6" s="22" t="s">
        <v>52</v>
      </c>
      <c r="H6" s="23">
        <v>1279</v>
      </c>
      <c r="I6" s="24">
        <v>7</v>
      </c>
      <c r="J6" s="25">
        <f t="shared" si="0"/>
        <v>8953</v>
      </c>
      <c r="K6" t="str">
        <f t="shared" si="1"/>
        <v>SI</v>
      </c>
    </row>
    <row r="7" spans="1:14" x14ac:dyDescent="0.35">
      <c r="A7" s="33">
        <v>43324</v>
      </c>
      <c r="B7" s="22" t="s">
        <v>53</v>
      </c>
      <c r="C7" s="22" t="s">
        <v>58</v>
      </c>
      <c r="D7" s="22" t="s">
        <v>49</v>
      </c>
      <c r="E7" s="22" t="s">
        <v>50</v>
      </c>
      <c r="F7" s="22" t="s">
        <v>51</v>
      </c>
      <c r="G7" s="22" t="s">
        <v>57</v>
      </c>
      <c r="H7" s="23">
        <v>1279</v>
      </c>
      <c r="I7" s="24">
        <v>45</v>
      </c>
      <c r="J7" s="25">
        <f t="shared" si="0"/>
        <v>57555</v>
      </c>
      <c r="K7" t="str">
        <f t="shared" si="1"/>
        <v>SI</v>
      </c>
    </row>
    <row r="8" spans="1:14" x14ac:dyDescent="0.35">
      <c r="A8" s="33">
        <v>43324</v>
      </c>
      <c r="B8" s="22" t="s">
        <v>66</v>
      </c>
      <c r="C8" s="22" t="s">
        <v>54</v>
      </c>
      <c r="D8" s="22" t="s">
        <v>49</v>
      </c>
      <c r="E8" s="22" t="s">
        <v>67</v>
      </c>
      <c r="F8" s="22" t="s">
        <v>68</v>
      </c>
      <c r="G8" s="22" t="s">
        <v>57</v>
      </c>
      <c r="H8" s="23">
        <v>1259</v>
      </c>
      <c r="I8" s="24">
        <v>35</v>
      </c>
      <c r="J8" s="25">
        <f t="shared" si="0"/>
        <v>44065</v>
      </c>
      <c r="K8" t="str">
        <f t="shared" si="1"/>
        <v>SI</v>
      </c>
      <c r="L8" s="26"/>
      <c r="M8" s="26"/>
      <c r="N8" s="26"/>
    </row>
    <row r="9" spans="1:14" x14ac:dyDescent="0.35">
      <c r="A9" s="33">
        <v>43324</v>
      </c>
      <c r="B9" s="22" t="s">
        <v>61</v>
      </c>
      <c r="C9" s="22" t="s">
        <v>69</v>
      </c>
      <c r="D9" s="22" t="s">
        <v>49</v>
      </c>
      <c r="E9" s="22" t="s">
        <v>67</v>
      </c>
      <c r="F9" s="22" t="s">
        <v>70</v>
      </c>
      <c r="G9" s="22" t="s">
        <v>57</v>
      </c>
      <c r="H9" s="23">
        <v>1249</v>
      </c>
      <c r="I9" s="24">
        <v>6</v>
      </c>
      <c r="J9" s="25">
        <f t="shared" si="0"/>
        <v>7494</v>
      </c>
      <c r="K9" t="str">
        <f t="shared" si="1"/>
        <v>SI</v>
      </c>
    </row>
    <row r="10" spans="1:14" x14ac:dyDescent="0.35">
      <c r="A10" s="33">
        <v>43324</v>
      </c>
      <c r="B10" s="22" t="s">
        <v>61</v>
      </c>
      <c r="C10" s="22" t="s">
        <v>71</v>
      </c>
      <c r="D10" s="22" t="s">
        <v>49</v>
      </c>
      <c r="E10" s="22" t="s">
        <v>67</v>
      </c>
      <c r="F10" s="22" t="s">
        <v>70</v>
      </c>
      <c r="G10" s="22" t="s">
        <v>52</v>
      </c>
      <c r="H10" s="23">
        <v>1249</v>
      </c>
      <c r="I10" s="24">
        <v>6</v>
      </c>
      <c r="J10" s="25">
        <f t="shared" si="0"/>
        <v>7494</v>
      </c>
      <c r="K10" t="str">
        <f t="shared" si="1"/>
        <v>SI</v>
      </c>
    </row>
    <row r="11" spans="1:14" x14ac:dyDescent="0.35">
      <c r="A11" s="33">
        <v>43324</v>
      </c>
      <c r="B11" s="22" t="s">
        <v>61</v>
      </c>
      <c r="C11" s="22" t="s">
        <v>69</v>
      </c>
      <c r="D11" s="22" t="s">
        <v>49</v>
      </c>
      <c r="E11" s="22" t="s">
        <v>72</v>
      </c>
      <c r="F11" s="22" t="s">
        <v>73</v>
      </c>
      <c r="G11" s="22" t="s">
        <v>57</v>
      </c>
      <c r="H11" s="23">
        <v>1249</v>
      </c>
      <c r="I11" s="24">
        <v>45</v>
      </c>
      <c r="J11" s="25">
        <f t="shared" si="0"/>
        <v>56205</v>
      </c>
      <c r="K11" t="str">
        <f t="shared" si="1"/>
        <v>SI</v>
      </c>
    </row>
    <row r="12" spans="1:14" x14ac:dyDescent="0.35">
      <c r="A12" s="33">
        <v>43324</v>
      </c>
      <c r="B12" s="22" t="s">
        <v>61</v>
      </c>
      <c r="C12" s="22" t="s">
        <v>58</v>
      </c>
      <c r="D12" s="22" t="s">
        <v>49</v>
      </c>
      <c r="E12" s="22" t="s">
        <v>72</v>
      </c>
      <c r="F12" s="22" t="s">
        <v>73</v>
      </c>
      <c r="G12" s="22" t="s">
        <v>52</v>
      </c>
      <c r="H12" s="23">
        <v>1249</v>
      </c>
      <c r="I12" s="24">
        <v>36</v>
      </c>
      <c r="J12" s="25">
        <f t="shared" si="0"/>
        <v>44964</v>
      </c>
      <c r="K12" t="str">
        <f t="shared" si="1"/>
        <v>SI</v>
      </c>
    </row>
    <row r="13" spans="1:14" x14ac:dyDescent="0.35">
      <c r="A13" s="33">
        <v>43324</v>
      </c>
      <c r="B13" s="22" t="s">
        <v>74</v>
      </c>
      <c r="C13" s="22" t="s">
        <v>69</v>
      </c>
      <c r="D13" s="22" t="s">
        <v>49</v>
      </c>
      <c r="E13" s="22" t="s">
        <v>72</v>
      </c>
      <c r="F13" s="22" t="s">
        <v>75</v>
      </c>
      <c r="G13" s="22" t="s">
        <v>52</v>
      </c>
      <c r="H13" s="23">
        <v>1169</v>
      </c>
      <c r="I13" s="24">
        <v>35</v>
      </c>
      <c r="J13" s="25">
        <f t="shared" si="0"/>
        <v>40915</v>
      </c>
      <c r="K13" t="str">
        <f t="shared" si="1"/>
        <v>SI</v>
      </c>
    </row>
    <row r="14" spans="1:14" x14ac:dyDescent="0.35">
      <c r="A14" s="33">
        <v>43324</v>
      </c>
      <c r="B14" s="22" t="s">
        <v>66</v>
      </c>
      <c r="C14" s="22" t="s">
        <v>64</v>
      </c>
      <c r="D14" s="22" t="s">
        <v>49</v>
      </c>
      <c r="E14" s="22" t="s">
        <v>55</v>
      </c>
      <c r="F14" s="22" t="s">
        <v>56</v>
      </c>
      <c r="G14" s="22" t="s">
        <v>57</v>
      </c>
      <c r="H14" s="23">
        <v>1069</v>
      </c>
      <c r="I14" s="24">
        <v>36</v>
      </c>
      <c r="J14" s="25">
        <f t="shared" si="0"/>
        <v>38484</v>
      </c>
      <c r="K14" t="str">
        <f t="shared" si="1"/>
        <v>SI</v>
      </c>
    </row>
    <row r="15" spans="1:14" x14ac:dyDescent="0.35">
      <c r="A15" s="33">
        <v>43324</v>
      </c>
      <c r="B15" s="22" t="s">
        <v>66</v>
      </c>
      <c r="C15" s="22" t="s">
        <v>64</v>
      </c>
      <c r="D15" s="22" t="s">
        <v>49</v>
      </c>
      <c r="E15" s="22" t="s">
        <v>72</v>
      </c>
      <c r="F15" s="22" t="s">
        <v>75</v>
      </c>
      <c r="G15" s="22" t="s">
        <v>57</v>
      </c>
      <c r="H15" s="23">
        <v>1069</v>
      </c>
      <c r="I15" s="24">
        <v>30</v>
      </c>
      <c r="J15" s="25">
        <f t="shared" si="0"/>
        <v>32070</v>
      </c>
      <c r="K15" t="str">
        <f t="shared" si="1"/>
        <v>SI</v>
      </c>
    </row>
    <row r="16" spans="1:14" x14ac:dyDescent="0.35">
      <c r="A16" s="33">
        <v>43324</v>
      </c>
      <c r="B16" s="22" t="s">
        <v>76</v>
      </c>
      <c r="C16" s="22" t="s">
        <v>58</v>
      </c>
      <c r="D16" s="22" t="s">
        <v>77</v>
      </c>
      <c r="E16" s="22" t="s">
        <v>59</v>
      </c>
      <c r="F16" s="22" t="s">
        <v>60</v>
      </c>
      <c r="G16" s="22" t="s">
        <v>57</v>
      </c>
      <c r="H16" s="23">
        <v>1050</v>
      </c>
      <c r="I16" s="24">
        <v>22</v>
      </c>
      <c r="J16" s="25">
        <f t="shared" si="0"/>
        <v>23100</v>
      </c>
      <c r="K16" t="str">
        <f t="shared" si="1"/>
        <v>SI</v>
      </c>
    </row>
    <row r="17" spans="1:11" x14ac:dyDescent="0.35">
      <c r="A17" s="33">
        <v>43324</v>
      </c>
      <c r="B17" s="22" t="s">
        <v>76</v>
      </c>
      <c r="C17" s="22" t="s">
        <v>58</v>
      </c>
      <c r="D17" s="22" t="s">
        <v>77</v>
      </c>
      <c r="E17" s="22" t="s">
        <v>59</v>
      </c>
      <c r="F17" s="22" t="s">
        <v>78</v>
      </c>
      <c r="G17" s="22" t="s">
        <v>57</v>
      </c>
      <c r="H17" s="23">
        <v>1002</v>
      </c>
      <c r="I17" s="24">
        <v>10</v>
      </c>
      <c r="J17" s="25">
        <f t="shared" si="0"/>
        <v>10020</v>
      </c>
      <c r="K17" t="str">
        <f t="shared" si="1"/>
        <v>SI</v>
      </c>
    </row>
    <row r="18" spans="1:11" x14ac:dyDescent="0.35">
      <c r="A18" s="33">
        <v>43324</v>
      </c>
      <c r="B18" s="22" t="s">
        <v>76</v>
      </c>
      <c r="C18" s="22" t="s">
        <v>58</v>
      </c>
      <c r="D18" s="22" t="s">
        <v>77</v>
      </c>
      <c r="E18" s="22" t="s">
        <v>62</v>
      </c>
      <c r="F18" s="22" t="s">
        <v>79</v>
      </c>
      <c r="G18" s="22" t="s">
        <v>52</v>
      </c>
      <c r="H18" s="23">
        <v>999</v>
      </c>
      <c r="I18" s="24">
        <v>40</v>
      </c>
      <c r="J18" s="25">
        <f t="shared" si="0"/>
        <v>39960</v>
      </c>
      <c r="K18" t="str">
        <f t="shared" si="1"/>
        <v>SI</v>
      </c>
    </row>
    <row r="19" spans="1:11" x14ac:dyDescent="0.35">
      <c r="A19" s="33">
        <v>43324</v>
      </c>
      <c r="B19" s="22" t="s">
        <v>80</v>
      </c>
      <c r="C19" s="22" t="s">
        <v>58</v>
      </c>
      <c r="D19" s="22" t="s">
        <v>77</v>
      </c>
      <c r="E19" s="22" t="s">
        <v>62</v>
      </c>
      <c r="F19" s="22" t="s">
        <v>63</v>
      </c>
      <c r="G19" s="22" t="s">
        <v>57</v>
      </c>
      <c r="H19" s="23">
        <v>999</v>
      </c>
      <c r="I19" s="24">
        <v>10</v>
      </c>
      <c r="J19" s="25">
        <f t="shared" si="0"/>
        <v>9990</v>
      </c>
      <c r="K19" t="str">
        <f t="shared" si="1"/>
        <v>SI</v>
      </c>
    </row>
    <row r="20" spans="1:11" x14ac:dyDescent="0.35">
      <c r="A20" s="33">
        <v>43324</v>
      </c>
      <c r="B20" s="22" t="s">
        <v>80</v>
      </c>
      <c r="C20" s="22" t="s">
        <v>58</v>
      </c>
      <c r="D20" s="22" t="s">
        <v>77</v>
      </c>
      <c r="E20" s="22" t="s">
        <v>50</v>
      </c>
      <c r="F20" s="22" t="s">
        <v>81</v>
      </c>
      <c r="G20" s="22" t="s">
        <v>52</v>
      </c>
      <c r="H20" s="23">
        <v>999</v>
      </c>
      <c r="I20" s="24">
        <v>7</v>
      </c>
      <c r="J20" s="25">
        <f t="shared" si="0"/>
        <v>6993</v>
      </c>
      <c r="K20" t="str">
        <f t="shared" si="1"/>
        <v>SI</v>
      </c>
    </row>
    <row r="21" spans="1:11" x14ac:dyDescent="0.35">
      <c r="A21" s="33">
        <v>43324</v>
      </c>
      <c r="B21" s="22" t="s">
        <v>80</v>
      </c>
      <c r="C21" s="22" t="s">
        <v>58</v>
      </c>
      <c r="D21" s="22" t="s">
        <v>77</v>
      </c>
      <c r="E21" s="22" t="s">
        <v>72</v>
      </c>
      <c r="F21" s="22" t="s">
        <v>75</v>
      </c>
      <c r="G21" s="22" t="s">
        <v>52</v>
      </c>
      <c r="H21" s="23">
        <v>999</v>
      </c>
      <c r="I21" s="24">
        <v>5</v>
      </c>
      <c r="J21" s="25">
        <f t="shared" si="0"/>
        <v>4995</v>
      </c>
      <c r="K21" t="str">
        <f t="shared" si="1"/>
        <v>SI</v>
      </c>
    </row>
    <row r="22" spans="1:11" x14ac:dyDescent="0.35">
      <c r="A22" s="33">
        <v>43324</v>
      </c>
      <c r="B22" s="22" t="s">
        <v>82</v>
      </c>
      <c r="C22" s="22" t="s">
        <v>58</v>
      </c>
      <c r="D22" s="22" t="s">
        <v>77</v>
      </c>
      <c r="E22" s="22" t="s">
        <v>67</v>
      </c>
      <c r="F22" s="22" t="s">
        <v>68</v>
      </c>
      <c r="G22" s="22" t="s">
        <v>57</v>
      </c>
      <c r="H22" s="23">
        <v>249</v>
      </c>
      <c r="I22" s="24">
        <v>45</v>
      </c>
      <c r="J22" s="25">
        <f t="shared" si="0"/>
        <v>11205</v>
      </c>
      <c r="K22" t="str">
        <f t="shared" si="1"/>
        <v>SI</v>
      </c>
    </row>
    <row r="23" spans="1:11" x14ac:dyDescent="0.35">
      <c r="A23" s="33">
        <v>43324</v>
      </c>
      <c r="B23" s="22" t="s">
        <v>82</v>
      </c>
      <c r="C23" s="22" t="s">
        <v>58</v>
      </c>
      <c r="D23" s="22" t="s">
        <v>77</v>
      </c>
      <c r="E23" s="22" t="s">
        <v>59</v>
      </c>
      <c r="F23" s="22" t="s">
        <v>78</v>
      </c>
      <c r="G23" s="22" t="s">
        <v>57</v>
      </c>
      <c r="H23" s="23">
        <v>249</v>
      </c>
      <c r="I23" s="24">
        <v>24</v>
      </c>
      <c r="J23" s="25">
        <f t="shared" si="0"/>
        <v>5976</v>
      </c>
      <c r="K23" t="str">
        <f t="shared" si="1"/>
        <v>SI</v>
      </c>
    </row>
    <row r="24" spans="1:11" x14ac:dyDescent="0.35">
      <c r="A24" s="33">
        <v>43324</v>
      </c>
      <c r="B24" s="22" t="s">
        <v>82</v>
      </c>
      <c r="C24" s="22" t="s">
        <v>58</v>
      </c>
      <c r="D24" s="22" t="s">
        <v>77</v>
      </c>
      <c r="E24" s="22" t="s">
        <v>72</v>
      </c>
      <c r="F24" s="22" t="s">
        <v>83</v>
      </c>
      <c r="G24" s="22" t="s">
        <v>52</v>
      </c>
      <c r="H24" s="23">
        <v>249</v>
      </c>
      <c r="I24" s="24">
        <v>10</v>
      </c>
      <c r="J24" s="25">
        <f t="shared" si="0"/>
        <v>2490</v>
      </c>
      <c r="K24" t="str">
        <f t="shared" si="1"/>
        <v>SI</v>
      </c>
    </row>
    <row r="25" spans="1:11" x14ac:dyDescent="0.35">
      <c r="A25" s="33">
        <v>43324</v>
      </c>
      <c r="B25" s="22" t="s">
        <v>82</v>
      </c>
      <c r="C25" s="22" t="s">
        <v>64</v>
      </c>
      <c r="D25" s="22" t="s">
        <v>77</v>
      </c>
      <c r="E25" s="22" t="s">
        <v>55</v>
      </c>
      <c r="F25" s="22" t="s">
        <v>84</v>
      </c>
      <c r="G25" s="22" t="s">
        <v>57</v>
      </c>
      <c r="H25" s="23">
        <v>229</v>
      </c>
      <c r="I25" s="24">
        <v>25</v>
      </c>
      <c r="J25" s="25">
        <f t="shared" si="0"/>
        <v>5725</v>
      </c>
      <c r="K25" t="str">
        <f t="shared" si="1"/>
        <v>SI</v>
      </c>
    </row>
    <row r="26" spans="1:11" x14ac:dyDescent="0.35">
      <c r="A26" s="33">
        <v>43324</v>
      </c>
      <c r="B26" s="22" t="s">
        <v>82</v>
      </c>
      <c r="C26" s="22" t="s">
        <v>58</v>
      </c>
      <c r="D26" s="22" t="s">
        <v>77</v>
      </c>
      <c r="E26" s="22" t="s">
        <v>50</v>
      </c>
      <c r="F26" s="22" t="s">
        <v>85</v>
      </c>
      <c r="G26" s="22" t="s">
        <v>57</v>
      </c>
      <c r="H26" s="23">
        <v>229</v>
      </c>
      <c r="I26" s="24">
        <v>36</v>
      </c>
      <c r="J26" s="25">
        <f t="shared" si="0"/>
        <v>8244</v>
      </c>
      <c r="K26" t="str">
        <f t="shared" si="1"/>
        <v>SI</v>
      </c>
    </row>
    <row r="27" spans="1:11" x14ac:dyDescent="0.35">
      <c r="A27" s="33">
        <v>43324</v>
      </c>
      <c r="B27" s="22" t="s">
        <v>86</v>
      </c>
      <c r="C27" s="22" t="s">
        <v>48</v>
      </c>
      <c r="D27" s="22" t="s">
        <v>87</v>
      </c>
      <c r="E27" s="22" t="s">
        <v>67</v>
      </c>
      <c r="F27" s="22" t="s">
        <v>88</v>
      </c>
      <c r="G27" s="22" t="s">
        <v>52</v>
      </c>
      <c r="H27" s="23">
        <v>195</v>
      </c>
      <c r="I27" s="24">
        <v>6</v>
      </c>
      <c r="J27" s="25">
        <f t="shared" si="0"/>
        <v>1170</v>
      </c>
      <c r="K27" t="str">
        <f t="shared" si="1"/>
        <v>SI</v>
      </c>
    </row>
    <row r="28" spans="1:11" x14ac:dyDescent="0.35">
      <c r="A28" s="33">
        <v>43324</v>
      </c>
      <c r="B28" s="22" t="s">
        <v>89</v>
      </c>
      <c r="C28" s="22" t="s">
        <v>69</v>
      </c>
      <c r="D28" s="22" t="s">
        <v>90</v>
      </c>
      <c r="E28" s="22" t="s">
        <v>62</v>
      </c>
      <c r="F28" s="22" t="s">
        <v>79</v>
      </c>
      <c r="G28" s="22" t="s">
        <v>52</v>
      </c>
      <c r="H28" s="23">
        <v>169</v>
      </c>
      <c r="I28" s="24">
        <v>24</v>
      </c>
      <c r="J28" s="25">
        <f t="shared" si="0"/>
        <v>4056</v>
      </c>
      <c r="K28" t="str">
        <f t="shared" si="1"/>
        <v>SI</v>
      </c>
    </row>
    <row r="29" spans="1:11" x14ac:dyDescent="0.35">
      <c r="A29" s="33">
        <v>43324</v>
      </c>
      <c r="B29" s="22" t="s">
        <v>91</v>
      </c>
      <c r="C29" s="22" t="s">
        <v>54</v>
      </c>
      <c r="D29" s="22" t="s">
        <v>92</v>
      </c>
      <c r="E29" s="22" t="s">
        <v>50</v>
      </c>
      <c r="F29" s="22" t="s">
        <v>51</v>
      </c>
      <c r="G29" s="22" t="s">
        <v>52</v>
      </c>
      <c r="H29" s="23">
        <v>139</v>
      </c>
      <c r="I29" s="24">
        <v>36</v>
      </c>
      <c r="J29" s="25">
        <f t="shared" si="0"/>
        <v>5004</v>
      </c>
      <c r="K29" t="str">
        <f t="shared" si="1"/>
        <v>SI</v>
      </c>
    </row>
    <row r="30" spans="1:11" x14ac:dyDescent="0.35">
      <c r="A30" s="33">
        <v>43324</v>
      </c>
      <c r="B30" s="22" t="s">
        <v>91</v>
      </c>
      <c r="C30" s="22" t="s">
        <v>64</v>
      </c>
      <c r="D30" s="22" t="s">
        <v>92</v>
      </c>
      <c r="E30" s="22" t="s">
        <v>62</v>
      </c>
      <c r="F30" s="22" t="s">
        <v>63</v>
      </c>
      <c r="G30" s="22" t="s">
        <v>52</v>
      </c>
      <c r="H30" s="23">
        <v>129</v>
      </c>
      <c r="I30" s="24">
        <v>25</v>
      </c>
      <c r="J30" s="25">
        <f t="shared" si="0"/>
        <v>3225</v>
      </c>
      <c r="K30" t="str">
        <f t="shared" si="1"/>
        <v>SI</v>
      </c>
    </row>
    <row r="31" spans="1:11" x14ac:dyDescent="0.35">
      <c r="A31" s="33">
        <v>43324</v>
      </c>
      <c r="B31" s="22" t="s">
        <v>89</v>
      </c>
      <c r="C31" s="22" t="s">
        <v>93</v>
      </c>
      <c r="D31" s="22" t="s">
        <v>90</v>
      </c>
      <c r="E31" s="22" t="s">
        <v>72</v>
      </c>
      <c r="F31" s="22" t="s">
        <v>75</v>
      </c>
      <c r="G31" s="22" t="s">
        <v>52</v>
      </c>
      <c r="H31" s="23">
        <v>119</v>
      </c>
      <c r="I31" s="24">
        <v>25</v>
      </c>
      <c r="J31" s="25">
        <f t="shared" si="0"/>
        <v>2975</v>
      </c>
      <c r="K31" t="str">
        <f t="shared" si="1"/>
        <v>SI</v>
      </c>
    </row>
    <row r="32" spans="1:11" x14ac:dyDescent="0.35">
      <c r="A32" s="33">
        <v>43324</v>
      </c>
      <c r="B32" s="22" t="s">
        <v>94</v>
      </c>
      <c r="C32" s="22" t="s">
        <v>69</v>
      </c>
      <c r="D32" s="22" t="s">
        <v>87</v>
      </c>
      <c r="E32" s="22" t="s">
        <v>67</v>
      </c>
      <c r="F32" s="22" t="s">
        <v>88</v>
      </c>
      <c r="G32" s="22" t="s">
        <v>52</v>
      </c>
      <c r="H32" s="23">
        <v>99</v>
      </c>
      <c r="I32" s="24">
        <v>22</v>
      </c>
      <c r="J32" s="25">
        <f t="shared" si="0"/>
        <v>2178</v>
      </c>
      <c r="K32" t="str">
        <f t="shared" si="1"/>
        <v>SI</v>
      </c>
    </row>
    <row r="33" spans="1:11" x14ac:dyDescent="0.35">
      <c r="A33" s="33">
        <v>43324</v>
      </c>
      <c r="B33" s="22" t="s">
        <v>95</v>
      </c>
      <c r="C33" s="22" t="s">
        <v>64</v>
      </c>
      <c r="D33" s="22" t="s">
        <v>87</v>
      </c>
      <c r="E33" s="22" t="s">
        <v>50</v>
      </c>
      <c r="F33" s="22" t="s">
        <v>85</v>
      </c>
      <c r="G33" s="22" t="s">
        <v>52</v>
      </c>
      <c r="H33" s="23">
        <v>99</v>
      </c>
      <c r="I33" s="24">
        <v>6</v>
      </c>
      <c r="J33" s="25">
        <f t="shared" si="0"/>
        <v>594</v>
      </c>
      <c r="K33" t="str">
        <f t="shared" si="1"/>
        <v>SI</v>
      </c>
    </row>
    <row r="34" spans="1:11" x14ac:dyDescent="0.35">
      <c r="A34" s="33">
        <v>43324</v>
      </c>
      <c r="B34" s="22" t="s">
        <v>96</v>
      </c>
      <c r="C34" s="22" t="s">
        <v>64</v>
      </c>
      <c r="D34" s="22" t="s">
        <v>92</v>
      </c>
      <c r="E34" s="22" t="s">
        <v>55</v>
      </c>
      <c r="F34" s="22" t="s">
        <v>65</v>
      </c>
      <c r="G34" s="22" t="s">
        <v>52</v>
      </c>
      <c r="H34" s="23">
        <v>89</v>
      </c>
      <c r="I34" s="24">
        <v>36</v>
      </c>
      <c r="J34" s="25">
        <f t="shared" si="0"/>
        <v>3204</v>
      </c>
      <c r="K34" t="str">
        <f t="shared" si="1"/>
        <v>SI</v>
      </c>
    </row>
    <row r="35" spans="1:11" x14ac:dyDescent="0.35">
      <c r="A35" s="33">
        <v>43324</v>
      </c>
      <c r="B35" s="22" t="s">
        <v>96</v>
      </c>
      <c r="C35" s="22" t="s">
        <v>58</v>
      </c>
      <c r="D35" s="22" t="s">
        <v>92</v>
      </c>
      <c r="E35" s="22" t="s">
        <v>50</v>
      </c>
      <c r="F35" s="22" t="s">
        <v>81</v>
      </c>
      <c r="G35" s="22" t="s">
        <v>52</v>
      </c>
      <c r="H35" s="23">
        <v>89</v>
      </c>
      <c r="I35" s="24">
        <v>10</v>
      </c>
      <c r="J35" s="25">
        <f t="shared" si="0"/>
        <v>890</v>
      </c>
      <c r="K35" t="str">
        <f t="shared" si="1"/>
        <v>SI</v>
      </c>
    </row>
    <row r="36" spans="1:11" x14ac:dyDescent="0.35">
      <c r="A36" s="33">
        <v>43324</v>
      </c>
      <c r="B36" s="22" t="s">
        <v>95</v>
      </c>
      <c r="C36" s="22" t="s">
        <v>58</v>
      </c>
      <c r="D36" s="22" t="s">
        <v>87</v>
      </c>
      <c r="E36" s="22" t="s">
        <v>50</v>
      </c>
      <c r="F36" s="22" t="s">
        <v>81</v>
      </c>
      <c r="G36" s="22" t="s">
        <v>52</v>
      </c>
      <c r="H36" s="23">
        <v>75</v>
      </c>
      <c r="I36" s="24">
        <v>24</v>
      </c>
      <c r="J36" s="25">
        <f t="shared" si="0"/>
        <v>1800</v>
      </c>
      <c r="K36" t="str">
        <f t="shared" si="1"/>
        <v>SI</v>
      </c>
    </row>
    <row r="37" spans="1:11" x14ac:dyDescent="0.35">
      <c r="A37" s="33">
        <v>43325</v>
      </c>
      <c r="B37" s="22" t="s">
        <v>47</v>
      </c>
      <c r="C37" s="22" t="s">
        <v>48</v>
      </c>
      <c r="D37" s="22" t="s">
        <v>49</v>
      </c>
      <c r="E37" s="22" t="s">
        <v>55</v>
      </c>
      <c r="F37" s="22" t="s">
        <v>56</v>
      </c>
      <c r="G37" s="22" t="s">
        <v>57</v>
      </c>
      <c r="H37" s="23">
        <v>2279</v>
      </c>
      <c r="I37" s="24">
        <v>10</v>
      </c>
      <c r="J37" s="25">
        <f t="shared" si="0"/>
        <v>22790</v>
      </c>
      <c r="K37" t="str">
        <f t="shared" si="1"/>
        <v>SI</v>
      </c>
    </row>
    <row r="38" spans="1:11" x14ac:dyDescent="0.35">
      <c r="A38" s="33">
        <v>43325</v>
      </c>
      <c r="B38" s="22" t="s">
        <v>47</v>
      </c>
      <c r="C38" s="22" t="s">
        <v>64</v>
      </c>
      <c r="D38" s="22" t="s">
        <v>49</v>
      </c>
      <c r="E38" s="22" t="s">
        <v>59</v>
      </c>
      <c r="F38" s="22" t="s">
        <v>60</v>
      </c>
      <c r="G38" s="22" t="s">
        <v>57</v>
      </c>
      <c r="H38" s="23">
        <v>1599</v>
      </c>
      <c r="I38" s="24">
        <v>30</v>
      </c>
      <c r="J38" s="25">
        <f t="shared" si="0"/>
        <v>47970</v>
      </c>
      <c r="K38" t="str">
        <f t="shared" si="1"/>
        <v>SI</v>
      </c>
    </row>
    <row r="39" spans="1:11" x14ac:dyDescent="0.35">
      <c r="A39" s="33">
        <v>43325</v>
      </c>
      <c r="B39" s="22" t="s">
        <v>61</v>
      </c>
      <c r="C39" s="22" t="s">
        <v>97</v>
      </c>
      <c r="D39" s="22" t="s">
        <v>49</v>
      </c>
      <c r="E39" s="22" t="s">
        <v>59</v>
      </c>
      <c r="F39" s="22" t="s">
        <v>60</v>
      </c>
      <c r="G39" s="22" t="s">
        <v>57</v>
      </c>
      <c r="H39" s="23">
        <v>1349</v>
      </c>
      <c r="I39" s="24">
        <v>6</v>
      </c>
      <c r="J39" s="25">
        <f t="shared" si="0"/>
        <v>8094</v>
      </c>
      <c r="K39" t="str">
        <f t="shared" si="1"/>
        <v>SI</v>
      </c>
    </row>
    <row r="40" spans="1:11" x14ac:dyDescent="0.35">
      <c r="A40" s="33">
        <v>43325</v>
      </c>
      <c r="B40" s="22" t="s">
        <v>53</v>
      </c>
      <c r="C40" s="22" t="s">
        <v>58</v>
      </c>
      <c r="D40" s="22" t="s">
        <v>49</v>
      </c>
      <c r="E40" s="22" t="s">
        <v>50</v>
      </c>
      <c r="F40" s="22" t="s">
        <v>81</v>
      </c>
      <c r="G40" s="22" t="s">
        <v>52</v>
      </c>
      <c r="H40" s="23">
        <v>1279</v>
      </c>
      <c r="I40" s="24">
        <v>30</v>
      </c>
      <c r="J40" s="25">
        <f t="shared" si="0"/>
        <v>38370</v>
      </c>
      <c r="K40" t="str">
        <f t="shared" si="1"/>
        <v>SI</v>
      </c>
    </row>
    <row r="41" spans="1:11" x14ac:dyDescent="0.35">
      <c r="A41" s="33">
        <v>43325</v>
      </c>
      <c r="B41" s="22" t="s">
        <v>53</v>
      </c>
      <c r="C41" s="22" t="s">
        <v>58</v>
      </c>
      <c r="D41" s="22" t="s">
        <v>49</v>
      </c>
      <c r="E41" s="22" t="s">
        <v>72</v>
      </c>
      <c r="F41" s="22" t="s">
        <v>83</v>
      </c>
      <c r="G41" s="22" t="s">
        <v>52</v>
      </c>
      <c r="H41" s="23">
        <v>1279</v>
      </c>
      <c r="I41" s="24">
        <v>5</v>
      </c>
      <c r="J41" s="25">
        <f t="shared" si="0"/>
        <v>6395</v>
      </c>
      <c r="K41" t="str">
        <f t="shared" si="1"/>
        <v>SI</v>
      </c>
    </row>
    <row r="42" spans="1:11" x14ac:dyDescent="0.35">
      <c r="A42" s="33">
        <v>43325</v>
      </c>
      <c r="B42" s="22" t="s">
        <v>61</v>
      </c>
      <c r="C42" s="22" t="s">
        <v>71</v>
      </c>
      <c r="D42" s="22" t="s">
        <v>49</v>
      </c>
      <c r="E42" s="22" t="s">
        <v>67</v>
      </c>
      <c r="F42" s="22" t="s">
        <v>70</v>
      </c>
      <c r="G42" s="22" t="s">
        <v>52</v>
      </c>
      <c r="H42" s="23">
        <v>1249</v>
      </c>
      <c r="I42" s="24">
        <v>5</v>
      </c>
      <c r="J42" s="25">
        <f t="shared" si="0"/>
        <v>6245</v>
      </c>
      <c r="K42" t="str">
        <f t="shared" si="1"/>
        <v>SI</v>
      </c>
    </row>
    <row r="43" spans="1:11" x14ac:dyDescent="0.35">
      <c r="A43" s="33">
        <v>43325</v>
      </c>
      <c r="B43" s="22" t="s">
        <v>61</v>
      </c>
      <c r="C43" s="22" t="s">
        <v>93</v>
      </c>
      <c r="D43" s="22" t="s">
        <v>49</v>
      </c>
      <c r="E43" s="22" t="s">
        <v>67</v>
      </c>
      <c r="F43" s="22" t="s">
        <v>88</v>
      </c>
      <c r="G43" s="22" t="s">
        <v>57</v>
      </c>
      <c r="H43" s="23">
        <v>1249</v>
      </c>
      <c r="I43" s="24">
        <v>7</v>
      </c>
      <c r="J43" s="25">
        <f t="shared" si="0"/>
        <v>8743</v>
      </c>
      <c r="K43" t="str">
        <f t="shared" si="1"/>
        <v>SI</v>
      </c>
    </row>
    <row r="44" spans="1:11" x14ac:dyDescent="0.35">
      <c r="A44" s="33">
        <v>43325</v>
      </c>
      <c r="B44" s="22" t="s">
        <v>98</v>
      </c>
      <c r="C44" s="22" t="s">
        <v>71</v>
      </c>
      <c r="D44" s="22" t="s">
        <v>49</v>
      </c>
      <c r="E44" s="22" t="s">
        <v>59</v>
      </c>
      <c r="F44" s="22" t="s">
        <v>99</v>
      </c>
      <c r="G44" s="22" t="s">
        <v>52</v>
      </c>
      <c r="H44" s="23">
        <v>1159</v>
      </c>
      <c r="I44" s="24">
        <v>25</v>
      </c>
      <c r="J44" s="25">
        <f t="shared" si="0"/>
        <v>28975</v>
      </c>
      <c r="K44" t="str">
        <f t="shared" si="1"/>
        <v>SI</v>
      </c>
    </row>
    <row r="45" spans="1:11" x14ac:dyDescent="0.35">
      <c r="A45" s="33">
        <v>43325</v>
      </c>
      <c r="B45" s="22" t="s">
        <v>100</v>
      </c>
      <c r="C45" s="22" t="s">
        <v>69</v>
      </c>
      <c r="D45" s="22" t="s">
        <v>49</v>
      </c>
      <c r="E45" s="22" t="s">
        <v>67</v>
      </c>
      <c r="F45" s="22" t="s">
        <v>70</v>
      </c>
      <c r="G45" s="22" t="s">
        <v>52</v>
      </c>
      <c r="H45" s="23">
        <v>1029</v>
      </c>
      <c r="I45" s="24">
        <v>45</v>
      </c>
      <c r="J45" s="25">
        <f t="shared" si="0"/>
        <v>46305</v>
      </c>
      <c r="K45" t="str">
        <f t="shared" si="1"/>
        <v>SI</v>
      </c>
    </row>
    <row r="46" spans="1:11" x14ac:dyDescent="0.35">
      <c r="A46" s="33">
        <v>43325</v>
      </c>
      <c r="B46" s="22" t="s">
        <v>76</v>
      </c>
      <c r="C46" s="22" t="s">
        <v>54</v>
      </c>
      <c r="D46" s="22" t="s">
        <v>77</v>
      </c>
      <c r="E46" s="22" t="s">
        <v>62</v>
      </c>
      <c r="F46" s="22" t="s">
        <v>79</v>
      </c>
      <c r="G46" s="22" t="s">
        <v>57</v>
      </c>
      <c r="H46" s="23">
        <v>1005</v>
      </c>
      <c r="I46" s="24">
        <v>10</v>
      </c>
      <c r="J46" s="25">
        <f t="shared" si="0"/>
        <v>10050</v>
      </c>
      <c r="K46" t="str">
        <f t="shared" si="1"/>
        <v>SI</v>
      </c>
    </row>
    <row r="47" spans="1:11" x14ac:dyDescent="0.35">
      <c r="A47" s="33">
        <v>43325</v>
      </c>
      <c r="B47" s="22" t="s">
        <v>80</v>
      </c>
      <c r="C47" s="22" t="s">
        <v>101</v>
      </c>
      <c r="D47" s="22" t="s">
        <v>77</v>
      </c>
      <c r="E47" s="22" t="s">
        <v>62</v>
      </c>
      <c r="F47" s="22" t="s">
        <v>63</v>
      </c>
      <c r="G47" s="22" t="s">
        <v>52</v>
      </c>
      <c r="H47" s="23">
        <v>999</v>
      </c>
      <c r="I47" s="24">
        <v>9</v>
      </c>
      <c r="J47" s="25">
        <f t="shared" si="0"/>
        <v>8991</v>
      </c>
      <c r="K47" t="str">
        <f t="shared" si="1"/>
        <v>SI</v>
      </c>
    </row>
    <row r="48" spans="1:11" x14ac:dyDescent="0.35">
      <c r="A48" s="33">
        <v>43325</v>
      </c>
      <c r="B48" s="22" t="s">
        <v>80</v>
      </c>
      <c r="C48" s="22" t="s">
        <v>58</v>
      </c>
      <c r="D48" s="22" t="s">
        <v>77</v>
      </c>
      <c r="E48" s="22" t="s">
        <v>50</v>
      </c>
      <c r="F48" s="22" t="s">
        <v>51</v>
      </c>
      <c r="G48" s="22" t="s">
        <v>57</v>
      </c>
      <c r="H48" s="23">
        <v>999</v>
      </c>
      <c r="I48" s="24">
        <v>36</v>
      </c>
      <c r="J48" s="25">
        <f t="shared" si="0"/>
        <v>35964</v>
      </c>
      <c r="K48" t="str">
        <f t="shared" si="1"/>
        <v>SI</v>
      </c>
    </row>
    <row r="49" spans="1:11" x14ac:dyDescent="0.35">
      <c r="A49" s="33">
        <v>43325</v>
      </c>
      <c r="B49" s="22" t="s">
        <v>80</v>
      </c>
      <c r="C49" s="22" t="s">
        <v>64</v>
      </c>
      <c r="D49" s="22" t="s">
        <v>77</v>
      </c>
      <c r="E49" s="22" t="s">
        <v>50</v>
      </c>
      <c r="F49" s="22" t="s">
        <v>51</v>
      </c>
      <c r="G49" s="22" t="s">
        <v>52</v>
      </c>
      <c r="H49" s="23">
        <v>999</v>
      </c>
      <c r="I49" s="24">
        <v>10</v>
      </c>
      <c r="J49" s="25">
        <f t="shared" si="0"/>
        <v>9990</v>
      </c>
      <c r="K49" t="str">
        <f t="shared" si="1"/>
        <v>SI</v>
      </c>
    </row>
    <row r="50" spans="1:11" x14ac:dyDescent="0.35">
      <c r="A50" s="33">
        <v>43325</v>
      </c>
      <c r="B50" s="22" t="s">
        <v>100</v>
      </c>
      <c r="C50" s="22" t="s">
        <v>64</v>
      </c>
      <c r="D50" s="22" t="s">
        <v>49</v>
      </c>
      <c r="E50" s="22" t="s">
        <v>62</v>
      </c>
      <c r="F50" s="22" t="s">
        <v>79</v>
      </c>
      <c r="G50" s="22" t="s">
        <v>52</v>
      </c>
      <c r="H50" s="23">
        <v>909</v>
      </c>
      <c r="I50" s="24">
        <v>30</v>
      </c>
      <c r="J50" s="25">
        <f t="shared" si="0"/>
        <v>27270</v>
      </c>
      <c r="K50" t="str">
        <f t="shared" si="1"/>
        <v>SI</v>
      </c>
    </row>
    <row r="51" spans="1:11" x14ac:dyDescent="0.35">
      <c r="A51" s="33">
        <v>43325</v>
      </c>
      <c r="B51" s="22" t="s">
        <v>102</v>
      </c>
      <c r="C51" s="22" t="s">
        <v>103</v>
      </c>
      <c r="D51" s="22" t="s">
        <v>49</v>
      </c>
      <c r="E51" s="22" t="s">
        <v>67</v>
      </c>
      <c r="F51" s="22" t="s">
        <v>70</v>
      </c>
      <c r="G51" s="22" t="s">
        <v>52</v>
      </c>
      <c r="H51" s="23">
        <v>849</v>
      </c>
      <c r="I51" s="24">
        <v>40</v>
      </c>
      <c r="J51" s="25">
        <f t="shared" si="0"/>
        <v>33960</v>
      </c>
      <c r="K51" t="str">
        <f t="shared" si="1"/>
        <v>SI</v>
      </c>
    </row>
    <row r="52" spans="1:11" x14ac:dyDescent="0.35">
      <c r="A52" s="33">
        <v>43325</v>
      </c>
      <c r="B52" s="22" t="s">
        <v>82</v>
      </c>
      <c r="C52" s="22" t="s">
        <v>54</v>
      </c>
      <c r="D52" s="22" t="s">
        <v>77</v>
      </c>
      <c r="E52" s="22" t="s">
        <v>50</v>
      </c>
      <c r="F52" s="22" t="s">
        <v>81</v>
      </c>
      <c r="G52" s="22" t="s">
        <v>52</v>
      </c>
      <c r="H52" s="23">
        <v>329</v>
      </c>
      <c r="I52" s="24">
        <v>35</v>
      </c>
      <c r="J52" s="25">
        <f t="shared" si="0"/>
        <v>11515</v>
      </c>
      <c r="K52" t="str">
        <f t="shared" si="1"/>
        <v>SI</v>
      </c>
    </row>
    <row r="53" spans="1:11" x14ac:dyDescent="0.35">
      <c r="A53" s="33">
        <v>43325</v>
      </c>
      <c r="B53" s="22" t="s">
        <v>82</v>
      </c>
      <c r="C53" s="22" t="s">
        <v>58</v>
      </c>
      <c r="D53" s="22" t="s">
        <v>77</v>
      </c>
      <c r="E53" s="22" t="s">
        <v>50</v>
      </c>
      <c r="F53" s="22" t="s">
        <v>51</v>
      </c>
      <c r="G53" s="22" t="s">
        <v>52</v>
      </c>
      <c r="H53" s="23">
        <v>329</v>
      </c>
      <c r="I53" s="24">
        <v>10</v>
      </c>
      <c r="J53" s="25">
        <f t="shared" si="0"/>
        <v>3290</v>
      </c>
      <c r="K53" t="str">
        <f t="shared" si="1"/>
        <v>SI</v>
      </c>
    </row>
    <row r="54" spans="1:11" x14ac:dyDescent="0.35">
      <c r="A54" s="33">
        <v>43325</v>
      </c>
      <c r="B54" s="22" t="s">
        <v>82</v>
      </c>
      <c r="C54" s="22" t="s">
        <v>71</v>
      </c>
      <c r="D54" s="22" t="s">
        <v>77</v>
      </c>
      <c r="E54" s="22" t="s">
        <v>55</v>
      </c>
      <c r="F54" s="22" t="s">
        <v>56</v>
      </c>
      <c r="G54" s="22" t="s">
        <v>52</v>
      </c>
      <c r="H54" s="23">
        <v>319</v>
      </c>
      <c r="I54" s="24">
        <v>5</v>
      </c>
      <c r="J54" s="25">
        <f t="shared" si="0"/>
        <v>1595</v>
      </c>
      <c r="K54" t="str">
        <f t="shared" si="1"/>
        <v>SI</v>
      </c>
    </row>
    <row r="55" spans="1:11" x14ac:dyDescent="0.35">
      <c r="A55" s="33">
        <v>43325</v>
      </c>
      <c r="B55" s="22" t="s">
        <v>82</v>
      </c>
      <c r="C55" s="22" t="s">
        <v>64</v>
      </c>
      <c r="D55" s="22" t="s">
        <v>77</v>
      </c>
      <c r="E55" s="22" t="s">
        <v>50</v>
      </c>
      <c r="F55" s="22" t="s">
        <v>51</v>
      </c>
      <c r="G55" s="22" t="s">
        <v>52</v>
      </c>
      <c r="H55" s="23">
        <v>249</v>
      </c>
      <c r="I55" s="24">
        <v>10</v>
      </c>
      <c r="J55" s="25">
        <f t="shared" si="0"/>
        <v>2490</v>
      </c>
      <c r="K55" t="str">
        <f t="shared" si="1"/>
        <v>SI</v>
      </c>
    </row>
    <row r="56" spans="1:11" x14ac:dyDescent="0.35">
      <c r="A56" s="33">
        <v>43325</v>
      </c>
      <c r="B56" s="22" t="s">
        <v>82</v>
      </c>
      <c r="C56" s="22" t="s">
        <v>54</v>
      </c>
      <c r="D56" s="22" t="s">
        <v>77</v>
      </c>
      <c r="E56" s="22" t="s">
        <v>55</v>
      </c>
      <c r="F56" s="22" t="s">
        <v>84</v>
      </c>
      <c r="G56" s="22" t="s">
        <v>57</v>
      </c>
      <c r="H56" s="23">
        <v>229</v>
      </c>
      <c r="I56" s="24">
        <v>40</v>
      </c>
      <c r="J56" s="25">
        <f t="shared" si="0"/>
        <v>9160</v>
      </c>
      <c r="K56" t="str">
        <f t="shared" si="1"/>
        <v>SI</v>
      </c>
    </row>
    <row r="57" spans="1:11" x14ac:dyDescent="0.35">
      <c r="A57" s="33">
        <v>43325</v>
      </c>
      <c r="B57" s="22" t="s">
        <v>104</v>
      </c>
      <c r="C57" s="22" t="s">
        <v>54</v>
      </c>
      <c r="D57" s="22" t="s">
        <v>87</v>
      </c>
      <c r="E57" s="22" t="s">
        <v>59</v>
      </c>
      <c r="F57" s="22" t="s">
        <v>60</v>
      </c>
      <c r="G57" s="22" t="s">
        <v>57</v>
      </c>
      <c r="H57" s="23">
        <v>155</v>
      </c>
      <c r="I57" s="24">
        <v>26</v>
      </c>
      <c r="J57" s="25">
        <f t="shared" si="0"/>
        <v>4030</v>
      </c>
      <c r="K57" t="str">
        <f t="shared" si="1"/>
        <v>SI</v>
      </c>
    </row>
    <row r="58" spans="1:11" x14ac:dyDescent="0.35">
      <c r="A58" s="33">
        <v>43325</v>
      </c>
      <c r="B58" s="22" t="s">
        <v>91</v>
      </c>
      <c r="C58" s="22" t="s">
        <v>58</v>
      </c>
      <c r="D58" s="22" t="s">
        <v>92</v>
      </c>
      <c r="E58" s="22" t="s">
        <v>67</v>
      </c>
      <c r="F58" s="22" t="s">
        <v>88</v>
      </c>
      <c r="G58" s="22" t="s">
        <v>57</v>
      </c>
      <c r="H58" s="23">
        <v>139</v>
      </c>
      <c r="I58" s="24">
        <v>15</v>
      </c>
      <c r="J58" s="25">
        <f t="shared" si="0"/>
        <v>2085</v>
      </c>
      <c r="K58" t="str">
        <f t="shared" si="1"/>
        <v>SI</v>
      </c>
    </row>
    <row r="59" spans="1:11" x14ac:dyDescent="0.35">
      <c r="A59" s="33">
        <v>43325</v>
      </c>
      <c r="B59" s="22" t="s">
        <v>91</v>
      </c>
      <c r="C59" s="22" t="s">
        <v>64</v>
      </c>
      <c r="D59" s="22" t="s">
        <v>92</v>
      </c>
      <c r="E59" s="22" t="s">
        <v>62</v>
      </c>
      <c r="F59" s="22" t="s">
        <v>63</v>
      </c>
      <c r="G59" s="22" t="s">
        <v>57</v>
      </c>
      <c r="H59" s="23">
        <v>139</v>
      </c>
      <c r="I59" s="24">
        <v>10</v>
      </c>
      <c r="J59" s="25">
        <f t="shared" si="0"/>
        <v>1390</v>
      </c>
      <c r="K59" t="str">
        <f t="shared" si="1"/>
        <v>SI</v>
      </c>
    </row>
    <row r="60" spans="1:11" x14ac:dyDescent="0.35">
      <c r="A60" s="33">
        <v>43325</v>
      </c>
      <c r="B60" s="22" t="s">
        <v>91</v>
      </c>
      <c r="C60" s="22" t="s">
        <v>97</v>
      </c>
      <c r="D60" s="22" t="s">
        <v>92</v>
      </c>
      <c r="E60" s="22" t="s">
        <v>50</v>
      </c>
      <c r="F60" s="22" t="s">
        <v>85</v>
      </c>
      <c r="G60" s="22" t="s">
        <v>52</v>
      </c>
      <c r="H60" s="23">
        <v>139</v>
      </c>
      <c r="I60" s="24">
        <v>5</v>
      </c>
      <c r="J60" s="25">
        <f t="shared" si="0"/>
        <v>695</v>
      </c>
      <c r="K60" t="str">
        <f t="shared" si="1"/>
        <v>SI</v>
      </c>
    </row>
    <row r="61" spans="1:11" x14ac:dyDescent="0.35">
      <c r="A61" s="33">
        <v>43325</v>
      </c>
      <c r="B61" s="22" t="s">
        <v>91</v>
      </c>
      <c r="C61" s="22" t="s">
        <v>64</v>
      </c>
      <c r="D61" s="22" t="s">
        <v>92</v>
      </c>
      <c r="E61" s="22" t="s">
        <v>55</v>
      </c>
      <c r="F61" s="22" t="s">
        <v>84</v>
      </c>
      <c r="G61" s="22" t="s">
        <v>57</v>
      </c>
      <c r="H61" s="23">
        <v>129</v>
      </c>
      <c r="I61" s="24">
        <v>30</v>
      </c>
      <c r="J61" s="25">
        <f t="shared" si="0"/>
        <v>3870</v>
      </c>
      <c r="K61" t="str">
        <f t="shared" si="1"/>
        <v>SI</v>
      </c>
    </row>
    <row r="62" spans="1:11" x14ac:dyDescent="0.35">
      <c r="A62" s="33">
        <v>43325</v>
      </c>
      <c r="B62" s="22" t="s">
        <v>95</v>
      </c>
      <c r="C62" s="22" t="s">
        <v>54</v>
      </c>
      <c r="D62" s="22" t="s">
        <v>87</v>
      </c>
      <c r="E62" s="22" t="s">
        <v>50</v>
      </c>
      <c r="F62" s="22" t="s">
        <v>85</v>
      </c>
      <c r="G62" s="22" t="s">
        <v>57</v>
      </c>
      <c r="H62" s="23">
        <v>99</v>
      </c>
      <c r="I62" s="24">
        <v>45</v>
      </c>
      <c r="J62" s="25">
        <f t="shared" si="0"/>
        <v>4455</v>
      </c>
      <c r="K62" t="str">
        <f t="shared" si="1"/>
        <v>SI</v>
      </c>
    </row>
    <row r="63" spans="1:11" x14ac:dyDescent="0.35">
      <c r="A63" s="33">
        <v>43325</v>
      </c>
      <c r="B63" s="22" t="s">
        <v>96</v>
      </c>
      <c r="C63" s="22" t="s">
        <v>97</v>
      </c>
      <c r="D63" s="22" t="s">
        <v>92</v>
      </c>
      <c r="E63" s="22" t="s">
        <v>67</v>
      </c>
      <c r="F63" s="22" t="s">
        <v>88</v>
      </c>
      <c r="G63" s="22" t="s">
        <v>52</v>
      </c>
      <c r="H63" s="23">
        <v>89</v>
      </c>
      <c r="I63" s="24">
        <v>21</v>
      </c>
      <c r="J63" s="25">
        <f t="shared" si="0"/>
        <v>1869</v>
      </c>
      <c r="K63" t="str">
        <f t="shared" si="1"/>
        <v>SI</v>
      </c>
    </row>
    <row r="64" spans="1:11" x14ac:dyDescent="0.35">
      <c r="A64" s="33">
        <v>43325</v>
      </c>
      <c r="B64" s="22" t="s">
        <v>96</v>
      </c>
      <c r="C64" s="22" t="s">
        <v>97</v>
      </c>
      <c r="D64" s="22" t="s">
        <v>92</v>
      </c>
      <c r="E64" s="22" t="s">
        <v>67</v>
      </c>
      <c r="F64" s="22" t="s">
        <v>88</v>
      </c>
      <c r="G64" s="22" t="s">
        <v>57</v>
      </c>
      <c r="H64" s="23">
        <v>89</v>
      </c>
      <c r="I64" s="24">
        <v>8</v>
      </c>
      <c r="J64" s="25">
        <f t="shared" si="0"/>
        <v>712</v>
      </c>
      <c r="K64" t="str">
        <f t="shared" si="1"/>
        <v>SI</v>
      </c>
    </row>
    <row r="65" spans="1:11" x14ac:dyDescent="0.35">
      <c r="A65" s="33">
        <v>43325</v>
      </c>
      <c r="B65" s="22" t="s">
        <v>105</v>
      </c>
      <c r="C65" s="22" t="s">
        <v>93</v>
      </c>
      <c r="D65" s="22" t="s">
        <v>92</v>
      </c>
      <c r="E65" s="22" t="s">
        <v>55</v>
      </c>
      <c r="F65" s="22" t="s">
        <v>65</v>
      </c>
      <c r="G65" s="22" t="s">
        <v>57</v>
      </c>
      <c r="H65" s="23">
        <v>39</v>
      </c>
      <c r="I65" s="24">
        <v>5</v>
      </c>
      <c r="J65" s="25">
        <f t="shared" si="0"/>
        <v>195</v>
      </c>
      <c r="K65" t="str">
        <f t="shared" si="1"/>
        <v>SI</v>
      </c>
    </row>
    <row r="66" spans="1:11" x14ac:dyDescent="0.35">
      <c r="A66" s="33">
        <v>43325</v>
      </c>
      <c r="B66" s="22" t="s">
        <v>105</v>
      </c>
      <c r="C66" s="22" t="s">
        <v>64</v>
      </c>
      <c r="D66" s="22" t="s">
        <v>92</v>
      </c>
      <c r="E66" s="22" t="s">
        <v>62</v>
      </c>
      <c r="F66" s="22" t="s">
        <v>63</v>
      </c>
      <c r="G66" s="22" t="s">
        <v>57</v>
      </c>
      <c r="H66" s="23">
        <v>39</v>
      </c>
      <c r="I66" s="24">
        <v>10</v>
      </c>
      <c r="J66" s="25">
        <f t="shared" si="0"/>
        <v>390</v>
      </c>
      <c r="K66" t="str">
        <f t="shared" si="1"/>
        <v>SI</v>
      </c>
    </row>
    <row r="67" spans="1:11" x14ac:dyDescent="0.35">
      <c r="A67" s="33">
        <v>43325</v>
      </c>
      <c r="B67" s="22" t="s">
        <v>105</v>
      </c>
      <c r="C67" s="22" t="s">
        <v>64</v>
      </c>
      <c r="D67" s="22" t="s">
        <v>92</v>
      </c>
      <c r="E67" s="22" t="s">
        <v>59</v>
      </c>
      <c r="F67" s="22" t="s">
        <v>99</v>
      </c>
      <c r="G67" s="22" t="s">
        <v>57</v>
      </c>
      <c r="H67" s="23">
        <v>39</v>
      </c>
      <c r="I67" s="24">
        <v>10</v>
      </c>
      <c r="J67" s="25">
        <f t="shared" si="0"/>
        <v>390</v>
      </c>
      <c r="K67" t="str">
        <f t="shared" ref="K67:K130" si="2">IF(H67*I67=J67,"SI","Error")</f>
        <v>SI</v>
      </c>
    </row>
    <row r="68" spans="1:11" x14ac:dyDescent="0.35">
      <c r="A68" s="33">
        <v>43326</v>
      </c>
      <c r="B68" s="22" t="s">
        <v>47</v>
      </c>
      <c r="C68" s="22" t="s">
        <v>97</v>
      </c>
      <c r="D68" s="22" t="s">
        <v>49</v>
      </c>
      <c r="E68" s="22" t="s">
        <v>59</v>
      </c>
      <c r="F68" s="22" t="s">
        <v>60</v>
      </c>
      <c r="G68" s="22" t="s">
        <v>57</v>
      </c>
      <c r="H68" s="23">
        <v>1599</v>
      </c>
      <c r="I68" s="24">
        <v>18</v>
      </c>
      <c r="J68" s="25">
        <f t="shared" si="0"/>
        <v>28782</v>
      </c>
      <c r="K68" t="str">
        <f t="shared" si="2"/>
        <v>SI</v>
      </c>
    </row>
    <row r="69" spans="1:11" x14ac:dyDescent="0.35">
      <c r="A69" s="33">
        <v>43326</v>
      </c>
      <c r="B69" s="22" t="s">
        <v>53</v>
      </c>
      <c r="C69" s="22" t="s">
        <v>64</v>
      </c>
      <c r="D69" s="22" t="s">
        <v>49</v>
      </c>
      <c r="E69" s="22" t="s">
        <v>55</v>
      </c>
      <c r="F69" s="22" t="s">
        <v>65</v>
      </c>
      <c r="G69" s="22" t="s">
        <v>57</v>
      </c>
      <c r="H69" s="23">
        <v>1579</v>
      </c>
      <c r="I69" s="24">
        <v>40</v>
      </c>
      <c r="J69" s="25">
        <f t="shared" si="0"/>
        <v>63160</v>
      </c>
      <c r="K69" t="str">
        <f t="shared" si="2"/>
        <v>SI</v>
      </c>
    </row>
    <row r="70" spans="1:11" x14ac:dyDescent="0.35">
      <c r="A70" s="33">
        <v>43326</v>
      </c>
      <c r="B70" s="22" t="s">
        <v>53</v>
      </c>
      <c r="C70" s="22" t="s">
        <v>58</v>
      </c>
      <c r="D70" s="22" t="s">
        <v>49</v>
      </c>
      <c r="E70" s="22" t="s">
        <v>55</v>
      </c>
      <c r="F70" s="22" t="s">
        <v>65</v>
      </c>
      <c r="G70" s="22" t="s">
        <v>57</v>
      </c>
      <c r="H70" s="23">
        <v>1579</v>
      </c>
      <c r="I70" s="24">
        <v>4</v>
      </c>
      <c r="J70" s="25">
        <f t="shared" si="0"/>
        <v>6316</v>
      </c>
      <c r="K70" t="str">
        <f t="shared" si="2"/>
        <v>SI</v>
      </c>
    </row>
    <row r="71" spans="1:11" x14ac:dyDescent="0.35">
      <c r="A71" s="33">
        <v>43326</v>
      </c>
      <c r="B71" s="22" t="s">
        <v>53</v>
      </c>
      <c r="C71" s="22" t="s">
        <v>64</v>
      </c>
      <c r="D71" s="22" t="s">
        <v>49</v>
      </c>
      <c r="E71" s="22" t="s">
        <v>67</v>
      </c>
      <c r="F71" s="22" t="s">
        <v>68</v>
      </c>
      <c r="G71" s="22" t="s">
        <v>57</v>
      </c>
      <c r="H71" s="23">
        <v>1579</v>
      </c>
      <c r="I71" s="24">
        <v>36</v>
      </c>
      <c r="J71" s="25">
        <f t="shared" si="0"/>
        <v>56844</v>
      </c>
      <c r="K71" t="str">
        <f t="shared" si="2"/>
        <v>SI</v>
      </c>
    </row>
    <row r="72" spans="1:11" x14ac:dyDescent="0.35">
      <c r="A72" s="33">
        <v>43326</v>
      </c>
      <c r="B72" s="22" t="s">
        <v>53</v>
      </c>
      <c r="C72" s="22" t="s">
        <v>58</v>
      </c>
      <c r="D72" s="22" t="s">
        <v>49</v>
      </c>
      <c r="E72" s="22" t="s">
        <v>50</v>
      </c>
      <c r="F72" s="22" t="s">
        <v>81</v>
      </c>
      <c r="G72" s="22" t="s">
        <v>52</v>
      </c>
      <c r="H72" s="23">
        <v>1579</v>
      </c>
      <c r="I72" s="24">
        <v>10</v>
      </c>
      <c r="J72" s="25">
        <f t="shared" si="0"/>
        <v>15790</v>
      </c>
      <c r="K72" t="str">
        <f t="shared" si="2"/>
        <v>SI</v>
      </c>
    </row>
    <row r="73" spans="1:11" x14ac:dyDescent="0.35">
      <c r="A73" s="33">
        <v>43326</v>
      </c>
      <c r="B73" s="22" t="s">
        <v>53</v>
      </c>
      <c r="C73" s="22" t="s">
        <v>97</v>
      </c>
      <c r="D73" s="22" t="s">
        <v>49</v>
      </c>
      <c r="E73" s="22" t="s">
        <v>67</v>
      </c>
      <c r="F73" s="22" t="s">
        <v>70</v>
      </c>
      <c r="G73" s="22" t="s">
        <v>52</v>
      </c>
      <c r="H73" s="23">
        <v>1269</v>
      </c>
      <c r="I73" s="24">
        <v>30</v>
      </c>
      <c r="J73" s="25">
        <f t="shared" si="0"/>
        <v>38070</v>
      </c>
      <c r="K73" t="str">
        <f t="shared" si="2"/>
        <v>SI</v>
      </c>
    </row>
    <row r="74" spans="1:11" x14ac:dyDescent="0.35">
      <c r="A74" s="33">
        <v>43326</v>
      </c>
      <c r="B74" s="22" t="s">
        <v>53</v>
      </c>
      <c r="C74" s="22" t="s">
        <v>69</v>
      </c>
      <c r="D74" s="22" t="s">
        <v>49</v>
      </c>
      <c r="E74" s="22" t="s">
        <v>72</v>
      </c>
      <c r="F74" s="22" t="s">
        <v>73</v>
      </c>
      <c r="G74" s="22" t="s">
        <v>57</v>
      </c>
      <c r="H74" s="23">
        <v>1269</v>
      </c>
      <c r="I74" s="24">
        <v>30</v>
      </c>
      <c r="J74" s="25">
        <f t="shared" si="0"/>
        <v>38070</v>
      </c>
      <c r="K74" t="str">
        <f t="shared" si="2"/>
        <v>SI</v>
      </c>
    </row>
    <row r="75" spans="1:11" x14ac:dyDescent="0.35">
      <c r="A75" s="33">
        <v>43326</v>
      </c>
      <c r="B75" s="22" t="s">
        <v>53</v>
      </c>
      <c r="C75" s="22" t="s">
        <v>97</v>
      </c>
      <c r="D75" s="22" t="s">
        <v>49</v>
      </c>
      <c r="E75" s="22" t="s">
        <v>72</v>
      </c>
      <c r="F75" s="22" t="s">
        <v>75</v>
      </c>
      <c r="G75" s="22" t="s">
        <v>52</v>
      </c>
      <c r="H75" s="23">
        <v>1269</v>
      </c>
      <c r="I75" s="24">
        <v>5</v>
      </c>
      <c r="J75" s="25">
        <f t="shared" si="0"/>
        <v>6345</v>
      </c>
      <c r="K75" t="str">
        <f t="shared" si="2"/>
        <v>SI</v>
      </c>
    </row>
    <row r="76" spans="1:11" x14ac:dyDescent="0.35">
      <c r="A76" s="33">
        <v>43326</v>
      </c>
      <c r="B76" s="22" t="s">
        <v>66</v>
      </c>
      <c r="C76" s="22" t="s">
        <v>54</v>
      </c>
      <c r="D76" s="22" t="s">
        <v>49</v>
      </c>
      <c r="E76" s="22" t="s">
        <v>55</v>
      </c>
      <c r="F76" s="22" t="s">
        <v>56</v>
      </c>
      <c r="G76" s="22" t="s">
        <v>57</v>
      </c>
      <c r="H76" s="23">
        <v>1259</v>
      </c>
      <c r="I76" s="24">
        <v>5</v>
      </c>
      <c r="J76" s="25">
        <f t="shared" si="0"/>
        <v>6295</v>
      </c>
      <c r="K76" t="str">
        <f t="shared" si="2"/>
        <v>SI</v>
      </c>
    </row>
    <row r="77" spans="1:11" x14ac:dyDescent="0.35">
      <c r="A77" s="33">
        <v>43326</v>
      </c>
      <c r="B77" s="22" t="s">
        <v>66</v>
      </c>
      <c r="C77" s="22" t="s">
        <v>69</v>
      </c>
      <c r="D77" s="22" t="s">
        <v>49</v>
      </c>
      <c r="E77" s="22" t="s">
        <v>55</v>
      </c>
      <c r="F77" s="22" t="s">
        <v>56</v>
      </c>
      <c r="G77" s="22" t="s">
        <v>52</v>
      </c>
      <c r="H77" s="23">
        <v>1259</v>
      </c>
      <c r="I77" s="24">
        <v>24</v>
      </c>
      <c r="J77" s="25">
        <f t="shared" si="0"/>
        <v>30216</v>
      </c>
      <c r="K77" t="str">
        <f t="shared" si="2"/>
        <v>SI</v>
      </c>
    </row>
    <row r="78" spans="1:11" x14ac:dyDescent="0.35">
      <c r="A78" s="33">
        <v>43326</v>
      </c>
      <c r="B78" s="22" t="s">
        <v>66</v>
      </c>
      <c r="C78" s="22" t="s">
        <v>48</v>
      </c>
      <c r="D78" s="22" t="s">
        <v>49</v>
      </c>
      <c r="E78" s="22" t="s">
        <v>62</v>
      </c>
      <c r="F78" s="22" t="s">
        <v>63</v>
      </c>
      <c r="G78" s="22" t="s">
        <v>52</v>
      </c>
      <c r="H78" s="23">
        <v>1259</v>
      </c>
      <c r="I78" s="24">
        <v>40</v>
      </c>
      <c r="J78" s="25">
        <f t="shared" si="0"/>
        <v>50360</v>
      </c>
      <c r="K78" t="str">
        <f t="shared" si="2"/>
        <v>SI</v>
      </c>
    </row>
    <row r="79" spans="1:11" x14ac:dyDescent="0.35">
      <c r="A79" s="33">
        <v>43326</v>
      </c>
      <c r="B79" s="22" t="s">
        <v>61</v>
      </c>
      <c r="C79" s="22" t="s">
        <v>64</v>
      </c>
      <c r="D79" s="22" t="s">
        <v>49</v>
      </c>
      <c r="E79" s="22" t="s">
        <v>50</v>
      </c>
      <c r="F79" s="22" t="s">
        <v>85</v>
      </c>
      <c r="G79" s="22" t="s">
        <v>57</v>
      </c>
      <c r="H79" s="23">
        <v>1249</v>
      </c>
      <c r="I79" s="24">
        <v>5</v>
      </c>
      <c r="J79" s="25">
        <f t="shared" si="0"/>
        <v>6245</v>
      </c>
      <c r="K79" t="str">
        <f t="shared" si="2"/>
        <v>SI</v>
      </c>
    </row>
    <row r="80" spans="1:11" x14ac:dyDescent="0.35">
      <c r="A80" s="33">
        <v>43326</v>
      </c>
      <c r="B80" s="22" t="s">
        <v>98</v>
      </c>
      <c r="C80" s="22" t="s">
        <v>106</v>
      </c>
      <c r="D80" s="22" t="s">
        <v>49</v>
      </c>
      <c r="E80" s="22" t="s">
        <v>67</v>
      </c>
      <c r="F80" s="22" t="s">
        <v>70</v>
      </c>
      <c r="G80" s="22" t="s">
        <v>52</v>
      </c>
      <c r="H80" s="23">
        <v>1159</v>
      </c>
      <c r="I80" s="24">
        <v>35</v>
      </c>
      <c r="J80" s="25">
        <f t="shared" si="0"/>
        <v>40565</v>
      </c>
      <c r="K80" t="str">
        <f t="shared" si="2"/>
        <v>SI</v>
      </c>
    </row>
    <row r="81" spans="1:11" x14ac:dyDescent="0.35">
      <c r="A81" s="33">
        <v>43326</v>
      </c>
      <c r="B81" s="22" t="s">
        <v>76</v>
      </c>
      <c r="C81" s="22" t="s">
        <v>58</v>
      </c>
      <c r="D81" s="22" t="s">
        <v>77</v>
      </c>
      <c r="E81" s="22" t="s">
        <v>67</v>
      </c>
      <c r="F81" s="22" t="s">
        <v>88</v>
      </c>
      <c r="G81" s="22" t="s">
        <v>52</v>
      </c>
      <c r="H81" s="23">
        <v>1050</v>
      </c>
      <c r="I81" s="24">
        <v>10</v>
      </c>
      <c r="J81" s="25">
        <f t="shared" si="0"/>
        <v>10500</v>
      </c>
      <c r="K81" t="str">
        <f t="shared" si="2"/>
        <v>SI</v>
      </c>
    </row>
    <row r="82" spans="1:11" x14ac:dyDescent="0.35">
      <c r="A82" s="33">
        <v>43326</v>
      </c>
      <c r="B82" s="22" t="s">
        <v>102</v>
      </c>
      <c r="C82" s="22" t="s">
        <v>58</v>
      </c>
      <c r="D82" s="22" t="s">
        <v>49</v>
      </c>
      <c r="E82" s="22" t="s">
        <v>50</v>
      </c>
      <c r="F82" s="22" t="s">
        <v>51</v>
      </c>
      <c r="G82" s="22" t="s">
        <v>57</v>
      </c>
      <c r="H82" s="23">
        <v>1049</v>
      </c>
      <c r="I82" s="24">
        <v>30</v>
      </c>
      <c r="J82" s="25">
        <f t="shared" si="0"/>
        <v>31470</v>
      </c>
      <c r="K82" t="str">
        <f t="shared" si="2"/>
        <v>SI</v>
      </c>
    </row>
    <row r="83" spans="1:11" x14ac:dyDescent="0.35">
      <c r="A83" s="33">
        <v>43326</v>
      </c>
      <c r="B83" s="22" t="s">
        <v>100</v>
      </c>
      <c r="C83" s="22" t="s">
        <v>64</v>
      </c>
      <c r="D83" s="22" t="s">
        <v>49</v>
      </c>
      <c r="E83" s="22" t="s">
        <v>55</v>
      </c>
      <c r="F83" s="22" t="s">
        <v>84</v>
      </c>
      <c r="G83" s="22" t="s">
        <v>57</v>
      </c>
      <c r="H83" s="23">
        <v>1029</v>
      </c>
      <c r="I83" s="24">
        <v>7</v>
      </c>
      <c r="J83" s="25">
        <f t="shared" si="0"/>
        <v>7203</v>
      </c>
      <c r="K83" t="str">
        <f t="shared" si="2"/>
        <v>SI</v>
      </c>
    </row>
    <row r="84" spans="1:11" x14ac:dyDescent="0.35">
      <c r="A84" s="33">
        <v>43326</v>
      </c>
      <c r="B84" s="22" t="s">
        <v>100</v>
      </c>
      <c r="C84" s="22" t="s">
        <v>69</v>
      </c>
      <c r="D84" s="22" t="s">
        <v>49</v>
      </c>
      <c r="E84" s="22" t="s">
        <v>62</v>
      </c>
      <c r="F84" s="22" t="s">
        <v>79</v>
      </c>
      <c r="G84" s="22" t="s">
        <v>57</v>
      </c>
      <c r="H84" s="23">
        <v>1029</v>
      </c>
      <c r="I84" s="24">
        <v>40</v>
      </c>
      <c r="J84" s="25">
        <f t="shared" si="0"/>
        <v>41160</v>
      </c>
      <c r="K84" t="str">
        <f t="shared" si="2"/>
        <v>SI</v>
      </c>
    </row>
    <row r="85" spans="1:11" x14ac:dyDescent="0.35">
      <c r="A85" s="33">
        <v>43326</v>
      </c>
      <c r="B85" s="22" t="s">
        <v>80</v>
      </c>
      <c r="C85" s="22" t="s">
        <v>58</v>
      </c>
      <c r="D85" s="22" t="s">
        <v>77</v>
      </c>
      <c r="E85" s="22" t="s">
        <v>55</v>
      </c>
      <c r="F85" s="22" t="s">
        <v>65</v>
      </c>
      <c r="G85" s="22" t="s">
        <v>57</v>
      </c>
      <c r="H85" s="23">
        <v>999</v>
      </c>
      <c r="I85" s="24">
        <v>35</v>
      </c>
      <c r="J85" s="25">
        <f t="shared" si="0"/>
        <v>34965</v>
      </c>
      <c r="K85" t="str">
        <f t="shared" si="2"/>
        <v>SI</v>
      </c>
    </row>
    <row r="86" spans="1:11" x14ac:dyDescent="0.35">
      <c r="A86" s="33">
        <v>43326</v>
      </c>
      <c r="B86" s="22" t="s">
        <v>80</v>
      </c>
      <c r="C86" s="22" t="s">
        <v>58</v>
      </c>
      <c r="D86" s="22" t="s">
        <v>77</v>
      </c>
      <c r="E86" s="22" t="s">
        <v>55</v>
      </c>
      <c r="F86" s="22" t="s">
        <v>65</v>
      </c>
      <c r="G86" s="22" t="s">
        <v>57</v>
      </c>
      <c r="H86" s="23">
        <v>999</v>
      </c>
      <c r="I86" s="24">
        <v>10</v>
      </c>
      <c r="J86" s="25">
        <f t="shared" si="0"/>
        <v>9990</v>
      </c>
      <c r="K86" t="str">
        <f t="shared" si="2"/>
        <v>SI</v>
      </c>
    </row>
    <row r="87" spans="1:11" x14ac:dyDescent="0.35">
      <c r="A87" s="33">
        <v>43326</v>
      </c>
      <c r="B87" s="22" t="s">
        <v>80</v>
      </c>
      <c r="C87" s="22" t="s">
        <v>58</v>
      </c>
      <c r="D87" s="22" t="s">
        <v>77</v>
      </c>
      <c r="E87" s="22" t="s">
        <v>72</v>
      </c>
      <c r="F87" s="22" t="s">
        <v>75</v>
      </c>
      <c r="G87" s="22" t="s">
        <v>57</v>
      </c>
      <c r="H87" s="23">
        <v>999</v>
      </c>
      <c r="I87" s="24">
        <v>9</v>
      </c>
      <c r="J87" s="25">
        <f t="shared" si="0"/>
        <v>8991</v>
      </c>
      <c r="K87" t="str">
        <f t="shared" si="2"/>
        <v>SI</v>
      </c>
    </row>
    <row r="88" spans="1:11" x14ac:dyDescent="0.35">
      <c r="A88" s="33">
        <v>43326</v>
      </c>
      <c r="B88" s="22" t="s">
        <v>80</v>
      </c>
      <c r="C88" s="22" t="s">
        <v>58</v>
      </c>
      <c r="D88" s="22" t="s">
        <v>77</v>
      </c>
      <c r="E88" s="22" t="s">
        <v>72</v>
      </c>
      <c r="F88" s="22" t="s">
        <v>83</v>
      </c>
      <c r="G88" s="22" t="s">
        <v>52</v>
      </c>
      <c r="H88" s="23">
        <v>999</v>
      </c>
      <c r="I88" s="24">
        <v>30</v>
      </c>
      <c r="J88" s="25">
        <f t="shared" si="0"/>
        <v>29970</v>
      </c>
      <c r="K88" t="str">
        <f t="shared" si="2"/>
        <v>SI</v>
      </c>
    </row>
    <row r="89" spans="1:11" x14ac:dyDescent="0.35">
      <c r="A89" s="33">
        <v>43326</v>
      </c>
      <c r="B89" s="22" t="s">
        <v>100</v>
      </c>
      <c r="C89" s="22" t="s">
        <v>54</v>
      </c>
      <c r="D89" s="22" t="s">
        <v>49</v>
      </c>
      <c r="E89" s="22" t="s">
        <v>50</v>
      </c>
      <c r="F89" s="22" t="s">
        <v>51</v>
      </c>
      <c r="G89" s="22" t="s">
        <v>52</v>
      </c>
      <c r="H89" s="23">
        <v>869</v>
      </c>
      <c r="I89" s="24">
        <v>45</v>
      </c>
      <c r="J89" s="25">
        <f t="shared" si="0"/>
        <v>39105</v>
      </c>
      <c r="K89" t="str">
        <f t="shared" si="2"/>
        <v>SI</v>
      </c>
    </row>
    <row r="90" spans="1:11" x14ac:dyDescent="0.35">
      <c r="A90" s="33">
        <v>43326</v>
      </c>
      <c r="B90" s="22" t="s">
        <v>82</v>
      </c>
      <c r="C90" s="22" t="s">
        <v>58</v>
      </c>
      <c r="D90" s="22" t="s">
        <v>77</v>
      </c>
      <c r="E90" s="22" t="s">
        <v>59</v>
      </c>
      <c r="F90" s="22" t="s">
        <v>78</v>
      </c>
      <c r="G90" s="22" t="s">
        <v>57</v>
      </c>
      <c r="H90" s="23">
        <v>329</v>
      </c>
      <c r="I90" s="24">
        <v>24</v>
      </c>
      <c r="J90" s="25">
        <f t="shared" si="0"/>
        <v>7896</v>
      </c>
      <c r="K90" t="str">
        <f t="shared" si="2"/>
        <v>SI</v>
      </c>
    </row>
    <row r="91" spans="1:11" x14ac:dyDescent="0.35">
      <c r="A91" s="33">
        <v>43326</v>
      </c>
      <c r="B91" s="22" t="s">
        <v>98</v>
      </c>
      <c r="C91" s="22" t="s">
        <v>69</v>
      </c>
      <c r="D91" s="22" t="s">
        <v>49</v>
      </c>
      <c r="E91" s="22" t="s">
        <v>62</v>
      </c>
      <c r="F91" s="22" t="s">
        <v>79</v>
      </c>
      <c r="G91" s="22" t="s">
        <v>57</v>
      </c>
      <c r="H91" s="23">
        <v>259</v>
      </c>
      <c r="I91" s="24">
        <v>25</v>
      </c>
      <c r="J91" s="25">
        <f t="shared" si="0"/>
        <v>6475</v>
      </c>
      <c r="K91" t="str">
        <f t="shared" si="2"/>
        <v>SI</v>
      </c>
    </row>
    <row r="92" spans="1:11" x14ac:dyDescent="0.35">
      <c r="A92" s="33">
        <v>43326</v>
      </c>
      <c r="B92" s="22" t="s">
        <v>82</v>
      </c>
      <c r="C92" s="22" t="s">
        <v>64</v>
      </c>
      <c r="D92" s="22" t="s">
        <v>77</v>
      </c>
      <c r="E92" s="22" t="s">
        <v>72</v>
      </c>
      <c r="F92" s="22" t="s">
        <v>75</v>
      </c>
      <c r="G92" s="22" t="s">
        <v>57</v>
      </c>
      <c r="H92" s="23">
        <v>249</v>
      </c>
      <c r="I92" s="24">
        <v>5</v>
      </c>
      <c r="J92" s="25">
        <f t="shared" si="0"/>
        <v>1245</v>
      </c>
      <c r="K92" t="str">
        <f t="shared" si="2"/>
        <v>SI</v>
      </c>
    </row>
    <row r="93" spans="1:11" x14ac:dyDescent="0.35">
      <c r="A93" s="33">
        <v>43326</v>
      </c>
      <c r="B93" s="22" t="s">
        <v>82</v>
      </c>
      <c r="C93" s="22" t="s">
        <v>64</v>
      </c>
      <c r="D93" s="22" t="s">
        <v>77</v>
      </c>
      <c r="E93" s="22" t="s">
        <v>55</v>
      </c>
      <c r="F93" s="22" t="s">
        <v>84</v>
      </c>
      <c r="G93" s="22" t="s">
        <v>57</v>
      </c>
      <c r="H93" s="23">
        <v>229</v>
      </c>
      <c r="I93" s="24">
        <v>10</v>
      </c>
      <c r="J93" s="25">
        <f t="shared" si="0"/>
        <v>2290</v>
      </c>
      <c r="K93" t="str">
        <f t="shared" si="2"/>
        <v>SI</v>
      </c>
    </row>
    <row r="94" spans="1:11" x14ac:dyDescent="0.35">
      <c r="A94" s="33">
        <v>43326</v>
      </c>
      <c r="B94" s="22" t="s">
        <v>82</v>
      </c>
      <c r="C94" s="22" t="s">
        <v>69</v>
      </c>
      <c r="D94" s="22" t="s">
        <v>77</v>
      </c>
      <c r="E94" s="22" t="s">
        <v>55</v>
      </c>
      <c r="F94" s="22" t="s">
        <v>84</v>
      </c>
      <c r="G94" s="22" t="s">
        <v>52</v>
      </c>
      <c r="H94" s="23">
        <v>229</v>
      </c>
      <c r="I94" s="24">
        <v>10</v>
      </c>
      <c r="J94" s="25">
        <f t="shared" si="0"/>
        <v>2290</v>
      </c>
      <c r="K94" t="str">
        <f t="shared" si="2"/>
        <v>SI</v>
      </c>
    </row>
    <row r="95" spans="1:11" x14ac:dyDescent="0.35">
      <c r="A95" s="33">
        <v>43326</v>
      </c>
      <c r="B95" s="22" t="s">
        <v>86</v>
      </c>
      <c r="C95" s="22" t="s">
        <v>54</v>
      </c>
      <c r="D95" s="22" t="s">
        <v>87</v>
      </c>
      <c r="E95" s="22" t="s">
        <v>55</v>
      </c>
      <c r="F95" s="22" t="s">
        <v>65</v>
      </c>
      <c r="G95" s="22" t="s">
        <v>57</v>
      </c>
      <c r="H95" s="23">
        <v>195</v>
      </c>
      <c r="I95" s="24">
        <v>40</v>
      </c>
      <c r="J95" s="25">
        <f t="shared" si="0"/>
        <v>7800</v>
      </c>
      <c r="K95" t="str">
        <f t="shared" si="2"/>
        <v>SI</v>
      </c>
    </row>
    <row r="96" spans="1:11" x14ac:dyDescent="0.35">
      <c r="A96" s="33">
        <v>43326</v>
      </c>
      <c r="B96" s="22" t="s">
        <v>91</v>
      </c>
      <c r="C96" s="22" t="s">
        <v>64</v>
      </c>
      <c r="D96" s="22" t="s">
        <v>92</v>
      </c>
      <c r="E96" s="22" t="s">
        <v>62</v>
      </c>
      <c r="F96" s="22" t="s">
        <v>79</v>
      </c>
      <c r="G96" s="22" t="s">
        <v>57</v>
      </c>
      <c r="H96" s="23">
        <v>139</v>
      </c>
      <c r="I96" s="24">
        <v>30</v>
      </c>
      <c r="J96" s="25">
        <f t="shared" si="0"/>
        <v>4170</v>
      </c>
      <c r="K96" t="str">
        <f t="shared" si="2"/>
        <v>SI</v>
      </c>
    </row>
    <row r="97" spans="1:11" x14ac:dyDescent="0.35">
      <c r="A97" s="33">
        <v>43326</v>
      </c>
      <c r="B97" s="22" t="s">
        <v>95</v>
      </c>
      <c r="C97" s="22" t="s">
        <v>54</v>
      </c>
      <c r="D97" s="22" t="s">
        <v>87</v>
      </c>
      <c r="E97" s="22" t="s">
        <v>59</v>
      </c>
      <c r="F97" s="22" t="s">
        <v>78</v>
      </c>
      <c r="G97" s="22" t="s">
        <v>57</v>
      </c>
      <c r="H97" s="23">
        <v>99</v>
      </c>
      <c r="I97" s="24">
        <v>30</v>
      </c>
      <c r="J97" s="25">
        <f t="shared" si="0"/>
        <v>2970</v>
      </c>
      <c r="K97" t="str">
        <f t="shared" si="2"/>
        <v>SI</v>
      </c>
    </row>
    <row r="98" spans="1:11" x14ac:dyDescent="0.35">
      <c r="A98" s="33">
        <v>43326</v>
      </c>
      <c r="B98" s="22" t="s">
        <v>95</v>
      </c>
      <c r="C98" s="22" t="s">
        <v>71</v>
      </c>
      <c r="D98" s="22" t="s">
        <v>87</v>
      </c>
      <c r="E98" s="22" t="s">
        <v>72</v>
      </c>
      <c r="F98" s="22" t="s">
        <v>75</v>
      </c>
      <c r="G98" s="22" t="s">
        <v>57</v>
      </c>
      <c r="H98" s="23">
        <v>99</v>
      </c>
      <c r="I98" s="24">
        <v>35</v>
      </c>
      <c r="J98" s="25">
        <f t="shared" si="0"/>
        <v>3465</v>
      </c>
      <c r="K98" t="str">
        <f t="shared" si="2"/>
        <v>SI</v>
      </c>
    </row>
    <row r="99" spans="1:11" x14ac:dyDescent="0.35">
      <c r="A99" s="33">
        <v>43326</v>
      </c>
      <c r="B99" s="22" t="s">
        <v>95</v>
      </c>
      <c r="C99" s="22" t="s">
        <v>101</v>
      </c>
      <c r="D99" s="22" t="s">
        <v>87</v>
      </c>
      <c r="E99" s="22" t="s">
        <v>72</v>
      </c>
      <c r="F99" s="22" t="s">
        <v>75</v>
      </c>
      <c r="G99" s="22" t="s">
        <v>52</v>
      </c>
      <c r="H99" s="23">
        <v>99</v>
      </c>
      <c r="I99" s="24">
        <v>30</v>
      </c>
      <c r="J99" s="25">
        <f t="shared" si="0"/>
        <v>2970</v>
      </c>
      <c r="K99" t="str">
        <f t="shared" si="2"/>
        <v>SI</v>
      </c>
    </row>
    <row r="100" spans="1:11" x14ac:dyDescent="0.35">
      <c r="A100" s="33">
        <v>43326</v>
      </c>
      <c r="B100" s="22" t="s">
        <v>95</v>
      </c>
      <c r="C100" s="22" t="s">
        <v>48</v>
      </c>
      <c r="D100" s="22" t="s">
        <v>87</v>
      </c>
      <c r="E100" s="22" t="s">
        <v>62</v>
      </c>
      <c r="F100" s="22" t="s">
        <v>63</v>
      </c>
      <c r="G100" s="22" t="s">
        <v>52</v>
      </c>
      <c r="H100" s="23">
        <v>75</v>
      </c>
      <c r="I100" s="24">
        <v>30</v>
      </c>
      <c r="J100" s="25">
        <f t="shared" si="0"/>
        <v>2250</v>
      </c>
      <c r="K100" t="str">
        <f t="shared" si="2"/>
        <v>SI</v>
      </c>
    </row>
    <row r="101" spans="1:11" x14ac:dyDescent="0.35">
      <c r="A101" s="33">
        <v>43326</v>
      </c>
      <c r="B101" s="22" t="s">
        <v>95</v>
      </c>
      <c r="C101" s="22" t="s">
        <v>64</v>
      </c>
      <c r="D101" s="22" t="s">
        <v>87</v>
      </c>
      <c r="E101" s="22" t="s">
        <v>50</v>
      </c>
      <c r="F101" s="22" t="s">
        <v>51</v>
      </c>
      <c r="G101" s="22" t="s">
        <v>57</v>
      </c>
      <c r="H101" s="23">
        <v>75</v>
      </c>
      <c r="I101" s="24">
        <v>6</v>
      </c>
      <c r="J101" s="25">
        <f t="shared" si="0"/>
        <v>450</v>
      </c>
      <c r="K101" t="str">
        <f t="shared" si="2"/>
        <v>SI</v>
      </c>
    </row>
    <row r="102" spans="1:11" x14ac:dyDescent="0.35">
      <c r="A102" s="33">
        <v>43326</v>
      </c>
      <c r="B102" s="22" t="s">
        <v>105</v>
      </c>
      <c r="C102" s="22" t="s">
        <v>64</v>
      </c>
      <c r="D102" s="22" t="s">
        <v>92</v>
      </c>
      <c r="E102" s="22" t="s">
        <v>55</v>
      </c>
      <c r="F102" s="22" t="s">
        <v>56</v>
      </c>
      <c r="G102" s="22" t="s">
        <v>57</v>
      </c>
      <c r="H102" s="23">
        <v>39</v>
      </c>
      <c r="I102" s="24">
        <v>25</v>
      </c>
      <c r="J102" s="25">
        <f t="shared" si="0"/>
        <v>975</v>
      </c>
      <c r="K102" t="str">
        <f t="shared" si="2"/>
        <v>SI</v>
      </c>
    </row>
    <row r="103" spans="1:11" x14ac:dyDescent="0.35">
      <c r="A103" s="33">
        <v>43326</v>
      </c>
      <c r="B103" s="22" t="s">
        <v>105</v>
      </c>
      <c r="C103" s="22" t="s">
        <v>64</v>
      </c>
      <c r="D103" s="22" t="s">
        <v>92</v>
      </c>
      <c r="E103" s="22" t="s">
        <v>67</v>
      </c>
      <c r="F103" s="22" t="s">
        <v>68</v>
      </c>
      <c r="G103" s="22" t="s">
        <v>52</v>
      </c>
      <c r="H103" s="23">
        <v>39</v>
      </c>
      <c r="I103" s="24">
        <v>36</v>
      </c>
      <c r="J103" s="25">
        <f t="shared" si="0"/>
        <v>1404</v>
      </c>
      <c r="K103" t="str">
        <f t="shared" si="2"/>
        <v>SI</v>
      </c>
    </row>
    <row r="104" spans="1:11" x14ac:dyDescent="0.35">
      <c r="A104" s="33">
        <v>43327</v>
      </c>
      <c r="B104" s="22" t="s">
        <v>47</v>
      </c>
      <c r="C104" s="22" t="s">
        <v>64</v>
      </c>
      <c r="D104" s="22" t="s">
        <v>49</v>
      </c>
      <c r="E104" s="22" t="s">
        <v>55</v>
      </c>
      <c r="F104" s="22" t="s">
        <v>84</v>
      </c>
      <c r="G104" s="22" t="s">
        <v>57</v>
      </c>
      <c r="H104" s="23">
        <v>2309</v>
      </c>
      <c r="I104" s="24">
        <v>11</v>
      </c>
      <c r="J104" s="25">
        <f t="shared" si="0"/>
        <v>25399</v>
      </c>
      <c r="K104" t="str">
        <f t="shared" si="2"/>
        <v>SI</v>
      </c>
    </row>
    <row r="105" spans="1:11" x14ac:dyDescent="0.35">
      <c r="A105" s="33">
        <v>43327</v>
      </c>
      <c r="B105" s="22" t="s">
        <v>47</v>
      </c>
      <c r="C105" s="22" t="s">
        <v>64</v>
      </c>
      <c r="D105" s="22" t="s">
        <v>49</v>
      </c>
      <c r="E105" s="22" t="s">
        <v>72</v>
      </c>
      <c r="F105" s="22" t="s">
        <v>75</v>
      </c>
      <c r="G105" s="22" t="s">
        <v>57</v>
      </c>
      <c r="H105" s="23">
        <v>2309</v>
      </c>
      <c r="I105" s="24">
        <v>36</v>
      </c>
      <c r="J105" s="25">
        <f t="shared" si="0"/>
        <v>83124</v>
      </c>
      <c r="K105" t="str">
        <f t="shared" si="2"/>
        <v>SI</v>
      </c>
    </row>
    <row r="106" spans="1:11" x14ac:dyDescent="0.35">
      <c r="A106" s="33">
        <v>43327</v>
      </c>
      <c r="B106" s="22" t="s">
        <v>47</v>
      </c>
      <c r="C106" s="22" t="s">
        <v>64</v>
      </c>
      <c r="D106" s="22" t="s">
        <v>49</v>
      </c>
      <c r="E106" s="22" t="s">
        <v>59</v>
      </c>
      <c r="F106" s="22" t="s">
        <v>60</v>
      </c>
      <c r="G106" s="22" t="s">
        <v>57</v>
      </c>
      <c r="H106" s="23">
        <v>2279</v>
      </c>
      <c r="I106" s="24">
        <v>7</v>
      </c>
      <c r="J106" s="25">
        <f t="shared" si="0"/>
        <v>15953</v>
      </c>
      <c r="K106" t="str">
        <f t="shared" si="2"/>
        <v>SI</v>
      </c>
    </row>
    <row r="107" spans="1:11" x14ac:dyDescent="0.35">
      <c r="A107" s="33">
        <v>43327</v>
      </c>
      <c r="B107" s="22" t="s">
        <v>53</v>
      </c>
      <c r="C107" s="22" t="s">
        <v>97</v>
      </c>
      <c r="D107" s="22" t="s">
        <v>49</v>
      </c>
      <c r="E107" s="22" t="s">
        <v>67</v>
      </c>
      <c r="F107" s="22" t="s">
        <v>88</v>
      </c>
      <c r="G107" s="22" t="s">
        <v>52</v>
      </c>
      <c r="H107" s="23">
        <v>1579</v>
      </c>
      <c r="I107" s="24">
        <v>35</v>
      </c>
      <c r="J107" s="25">
        <f t="shared" si="0"/>
        <v>55265</v>
      </c>
      <c r="K107" t="str">
        <f t="shared" si="2"/>
        <v>SI</v>
      </c>
    </row>
    <row r="108" spans="1:11" x14ac:dyDescent="0.35">
      <c r="A108" s="33">
        <v>43327</v>
      </c>
      <c r="B108" s="22" t="s">
        <v>53</v>
      </c>
      <c r="C108" s="22" t="s">
        <v>64</v>
      </c>
      <c r="D108" s="22" t="s">
        <v>49</v>
      </c>
      <c r="E108" s="22" t="s">
        <v>50</v>
      </c>
      <c r="F108" s="22" t="s">
        <v>51</v>
      </c>
      <c r="G108" s="22" t="s">
        <v>52</v>
      </c>
      <c r="H108" s="23">
        <v>1579</v>
      </c>
      <c r="I108" s="24">
        <v>6</v>
      </c>
      <c r="J108" s="25">
        <f t="shared" si="0"/>
        <v>9474</v>
      </c>
      <c r="K108" t="str">
        <f t="shared" si="2"/>
        <v>SI</v>
      </c>
    </row>
    <row r="109" spans="1:11" x14ac:dyDescent="0.35">
      <c r="A109" s="33">
        <v>43327</v>
      </c>
      <c r="B109" s="22" t="s">
        <v>53</v>
      </c>
      <c r="C109" s="22" t="s">
        <v>64</v>
      </c>
      <c r="D109" s="22" t="s">
        <v>49</v>
      </c>
      <c r="E109" s="22" t="s">
        <v>72</v>
      </c>
      <c r="F109" s="22" t="s">
        <v>75</v>
      </c>
      <c r="G109" s="22" t="s">
        <v>52</v>
      </c>
      <c r="H109" s="23">
        <v>1579</v>
      </c>
      <c r="I109" s="24">
        <v>3</v>
      </c>
      <c r="J109" s="25">
        <f t="shared" si="0"/>
        <v>4737</v>
      </c>
      <c r="K109" t="str">
        <f t="shared" si="2"/>
        <v>SI</v>
      </c>
    </row>
    <row r="110" spans="1:11" x14ac:dyDescent="0.35">
      <c r="A110" s="33">
        <v>43327</v>
      </c>
      <c r="B110" s="22" t="s">
        <v>61</v>
      </c>
      <c r="C110" s="22" t="s">
        <v>48</v>
      </c>
      <c r="D110" s="22" t="s">
        <v>49</v>
      </c>
      <c r="E110" s="22" t="s">
        <v>55</v>
      </c>
      <c r="F110" s="22" t="s">
        <v>84</v>
      </c>
      <c r="G110" s="22" t="s">
        <v>52</v>
      </c>
      <c r="H110" s="23">
        <v>1399</v>
      </c>
      <c r="I110" s="24">
        <v>25</v>
      </c>
      <c r="J110" s="25">
        <f t="shared" si="0"/>
        <v>34975</v>
      </c>
      <c r="K110" t="str">
        <f t="shared" si="2"/>
        <v>SI</v>
      </c>
    </row>
    <row r="111" spans="1:11" x14ac:dyDescent="0.35">
      <c r="A111" s="33">
        <v>43327</v>
      </c>
      <c r="B111" s="22" t="s">
        <v>61</v>
      </c>
      <c r="C111" s="22" t="s">
        <v>64</v>
      </c>
      <c r="D111" s="22" t="s">
        <v>49</v>
      </c>
      <c r="E111" s="22" t="s">
        <v>62</v>
      </c>
      <c r="F111" s="22" t="s">
        <v>63</v>
      </c>
      <c r="G111" s="22" t="s">
        <v>52</v>
      </c>
      <c r="H111" s="23">
        <v>1399</v>
      </c>
      <c r="I111" s="24">
        <v>40</v>
      </c>
      <c r="J111" s="25">
        <f t="shared" si="0"/>
        <v>55960</v>
      </c>
      <c r="K111" t="str">
        <f t="shared" si="2"/>
        <v>SI</v>
      </c>
    </row>
    <row r="112" spans="1:11" x14ac:dyDescent="0.35">
      <c r="A112" s="33">
        <v>43327</v>
      </c>
      <c r="B112" s="22" t="s">
        <v>53</v>
      </c>
      <c r="C112" s="22" t="s">
        <v>58</v>
      </c>
      <c r="D112" s="22" t="s">
        <v>49</v>
      </c>
      <c r="E112" s="22" t="s">
        <v>62</v>
      </c>
      <c r="F112" s="22" t="s">
        <v>63</v>
      </c>
      <c r="G112" s="22" t="s">
        <v>57</v>
      </c>
      <c r="H112" s="23">
        <v>1279</v>
      </c>
      <c r="I112" s="24">
        <v>22</v>
      </c>
      <c r="J112" s="25">
        <f t="shared" si="0"/>
        <v>28138</v>
      </c>
      <c r="K112" t="str">
        <f t="shared" si="2"/>
        <v>SI</v>
      </c>
    </row>
    <row r="113" spans="1:11" x14ac:dyDescent="0.35">
      <c r="A113" s="33">
        <v>43327</v>
      </c>
      <c r="B113" s="22" t="s">
        <v>53</v>
      </c>
      <c r="C113" s="22" t="s">
        <v>54</v>
      </c>
      <c r="D113" s="22" t="s">
        <v>49</v>
      </c>
      <c r="E113" s="22" t="s">
        <v>62</v>
      </c>
      <c r="F113" s="22" t="s">
        <v>63</v>
      </c>
      <c r="G113" s="22" t="s">
        <v>57</v>
      </c>
      <c r="H113" s="23">
        <v>1269</v>
      </c>
      <c r="I113" s="24">
        <v>24</v>
      </c>
      <c r="J113" s="25">
        <f t="shared" si="0"/>
        <v>30456</v>
      </c>
      <c r="K113" t="str">
        <f t="shared" si="2"/>
        <v>SI</v>
      </c>
    </row>
    <row r="114" spans="1:11" x14ac:dyDescent="0.35">
      <c r="A114" s="33">
        <v>43327</v>
      </c>
      <c r="B114" s="22" t="s">
        <v>53</v>
      </c>
      <c r="C114" s="22" t="s">
        <v>69</v>
      </c>
      <c r="D114" s="22" t="s">
        <v>49</v>
      </c>
      <c r="E114" s="22" t="s">
        <v>72</v>
      </c>
      <c r="F114" s="22" t="s">
        <v>73</v>
      </c>
      <c r="G114" s="22" t="s">
        <v>52</v>
      </c>
      <c r="H114" s="23">
        <v>1269</v>
      </c>
      <c r="I114" s="24">
        <v>5</v>
      </c>
      <c r="J114" s="25">
        <f t="shared" si="0"/>
        <v>6345</v>
      </c>
      <c r="K114" t="str">
        <f t="shared" si="2"/>
        <v>SI</v>
      </c>
    </row>
    <row r="115" spans="1:11" x14ac:dyDescent="0.35">
      <c r="A115" s="33">
        <v>43327</v>
      </c>
      <c r="B115" s="22" t="s">
        <v>74</v>
      </c>
      <c r="C115" s="22" t="s">
        <v>54</v>
      </c>
      <c r="D115" s="22" t="s">
        <v>49</v>
      </c>
      <c r="E115" s="22" t="s">
        <v>62</v>
      </c>
      <c r="F115" s="22" t="s">
        <v>63</v>
      </c>
      <c r="G115" s="22" t="s">
        <v>57</v>
      </c>
      <c r="H115" s="23">
        <v>1169</v>
      </c>
      <c r="I115" s="24">
        <v>25</v>
      </c>
      <c r="J115" s="25">
        <f t="shared" si="0"/>
        <v>29225</v>
      </c>
      <c r="K115" t="str">
        <f t="shared" si="2"/>
        <v>SI</v>
      </c>
    </row>
    <row r="116" spans="1:11" x14ac:dyDescent="0.35">
      <c r="A116" s="33">
        <v>43327</v>
      </c>
      <c r="B116" s="22" t="s">
        <v>74</v>
      </c>
      <c r="C116" s="22" t="s">
        <v>54</v>
      </c>
      <c r="D116" s="22" t="s">
        <v>49</v>
      </c>
      <c r="E116" s="22" t="s">
        <v>50</v>
      </c>
      <c r="F116" s="22" t="s">
        <v>51</v>
      </c>
      <c r="G116" s="22" t="s">
        <v>52</v>
      </c>
      <c r="H116" s="23">
        <v>1169</v>
      </c>
      <c r="I116" s="24">
        <v>10</v>
      </c>
      <c r="J116" s="25">
        <f t="shared" si="0"/>
        <v>11690</v>
      </c>
      <c r="K116" t="str">
        <f t="shared" si="2"/>
        <v>SI</v>
      </c>
    </row>
    <row r="117" spans="1:11" x14ac:dyDescent="0.35">
      <c r="A117" s="33">
        <v>43327</v>
      </c>
      <c r="B117" s="22" t="s">
        <v>98</v>
      </c>
      <c r="C117" s="22" t="s">
        <v>54</v>
      </c>
      <c r="D117" s="22" t="s">
        <v>49</v>
      </c>
      <c r="E117" s="22" t="s">
        <v>62</v>
      </c>
      <c r="F117" s="22" t="s">
        <v>79</v>
      </c>
      <c r="G117" s="22" t="s">
        <v>52</v>
      </c>
      <c r="H117" s="23">
        <v>1159</v>
      </c>
      <c r="I117" s="24">
        <v>7</v>
      </c>
      <c r="J117" s="25">
        <f t="shared" si="0"/>
        <v>8113</v>
      </c>
      <c r="K117" t="str">
        <f t="shared" si="2"/>
        <v>SI</v>
      </c>
    </row>
    <row r="118" spans="1:11" x14ac:dyDescent="0.35">
      <c r="A118" s="33">
        <v>43327</v>
      </c>
      <c r="B118" s="22" t="s">
        <v>76</v>
      </c>
      <c r="C118" s="22" t="s">
        <v>58</v>
      </c>
      <c r="D118" s="22" t="s">
        <v>77</v>
      </c>
      <c r="E118" s="22" t="s">
        <v>62</v>
      </c>
      <c r="F118" s="22" t="s">
        <v>63</v>
      </c>
      <c r="G118" s="22" t="s">
        <v>57</v>
      </c>
      <c r="H118" s="23">
        <v>1050</v>
      </c>
      <c r="I118" s="24">
        <v>30</v>
      </c>
      <c r="J118" s="25">
        <f t="shared" si="0"/>
        <v>31500</v>
      </c>
      <c r="K118" t="str">
        <f t="shared" si="2"/>
        <v>SI</v>
      </c>
    </row>
    <row r="119" spans="1:11" x14ac:dyDescent="0.35">
      <c r="A119" s="33">
        <v>43327</v>
      </c>
      <c r="B119" s="22" t="s">
        <v>100</v>
      </c>
      <c r="C119" s="22" t="s">
        <v>64</v>
      </c>
      <c r="D119" s="22" t="s">
        <v>49</v>
      </c>
      <c r="E119" s="22" t="s">
        <v>50</v>
      </c>
      <c r="F119" s="22" t="s">
        <v>81</v>
      </c>
      <c r="G119" s="22" t="s">
        <v>57</v>
      </c>
      <c r="H119" s="23">
        <v>1029</v>
      </c>
      <c r="I119" s="24">
        <v>30</v>
      </c>
      <c r="J119" s="25">
        <f t="shared" si="0"/>
        <v>30870</v>
      </c>
      <c r="K119" t="str">
        <f t="shared" si="2"/>
        <v>SI</v>
      </c>
    </row>
    <row r="120" spans="1:11" x14ac:dyDescent="0.35">
      <c r="A120" s="33">
        <v>43327</v>
      </c>
      <c r="B120" s="22" t="s">
        <v>76</v>
      </c>
      <c r="C120" s="22" t="s">
        <v>58</v>
      </c>
      <c r="D120" s="22" t="s">
        <v>77</v>
      </c>
      <c r="E120" s="22" t="s">
        <v>67</v>
      </c>
      <c r="F120" s="22" t="s">
        <v>70</v>
      </c>
      <c r="G120" s="22" t="s">
        <v>52</v>
      </c>
      <c r="H120" s="23">
        <v>1002</v>
      </c>
      <c r="I120" s="24">
        <v>45</v>
      </c>
      <c r="J120" s="25">
        <f t="shared" si="0"/>
        <v>45090</v>
      </c>
      <c r="K120" t="str">
        <f t="shared" si="2"/>
        <v>SI</v>
      </c>
    </row>
    <row r="121" spans="1:11" x14ac:dyDescent="0.35">
      <c r="A121" s="33">
        <v>43327</v>
      </c>
      <c r="B121" s="22" t="s">
        <v>107</v>
      </c>
      <c r="C121" s="22" t="s">
        <v>64</v>
      </c>
      <c r="D121" s="22" t="s">
        <v>108</v>
      </c>
      <c r="E121" s="22" t="s">
        <v>55</v>
      </c>
      <c r="F121" s="22" t="s">
        <v>84</v>
      </c>
      <c r="G121" s="22" t="s">
        <v>57</v>
      </c>
      <c r="H121" s="23">
        <v>899</v>
      </c>
      <c r="I121" s="24">
        <v>25</v>
      </c>
      <c r="J121" s="25">
        <f t="shared" si="0"/>
        <v>22475</v>
      </c>
      <c r="K121" t="str">
        <f t="shared" si="2"/>
        <v>SI</v>
      </c>
    </row>
    <row r="122" spans="1:11" x14ac:dyDescent="0.35">
      <c r="A122" s="33">
        <v>43327</v>
      </c>
      <c r="B122" s="22" t="s">
        <v>107</v>
      </c>
      <c r="C122" s="22" t="s">
        <v>93</v>
      </c>
      <c r="D122" s="22" t="s">
        <v>108</v>
      </c>
      <c r="E122" s="22" t="s">
        <v>55</v>
      </c>
      <c r="F122" s="22" t="s">
        <v>65</v>
      </c>
      <c r="G122" s="22" t="s">
        <v>52</v>
      </c>
      <c r="H122" s="23">
        <v>899</v>
      </c>
      <c r="I122" s="24">
        <v>25</v>
      </c>
      <c r="J122" s="25">
        <f t="shared" si="0"/>
        <v>22475</v>
      </c>
      <c r="K122" t="str">
        <f t="shared" si="2"/>
        <v>SI</v>
      </c>
    </row>
    <row r="123" spans="1:11" x14ac:dyDescent="0.35">
      <c r="A123" s="33">
        <v>43327</v>
      </c>
      <c r="B123" s="22" t="s">
        <v>107</v>
      </c>
      <c r="C123" s="22" t="s">
        <v>54</v>
      </c>
      <c r="D123" s="22" t="s">
        <v>108</v>
      </c>
      <c r="E123" s="22" t="s">
        <v>50</v>
      </c>
      <c r="F123" s="22" t="s">
        <v>51</v>
      </c>
      <c r="G123" s="22" t="s">
        <v>52</v>
      </c>
      <c r="H123" s="23">
        <v>899</v>
      </c>
      <c r="I123" s="24">
        <v>45</v>
      </c>
      <c r="J123" s="25">
        <f t="shared" si="0"/>
        <v>40455</v>
      </c>
      <c r="K123" t="str">
        <f t="shared" si="2"/>
        <v>SI</v>
      </c>
    </row>
    <row r="124" spans="1:11" x14ac:dyDescent="0.35">
      <c r="A124" s="33">
        <v>43327</v>
      </c>
      <c r="B124" s="22" t="s">
        <v>109</v>
      </c>
      <c r="C124" s="22" t="s">
        <v>48</v>
      </c>
      <c r="D124" s="22" t="s">
        <v>77</v>
      </c>
      <c r="E124" s="22" t="s">
        <v>67</v>
      </c>
      <c r="F124" s="22" t="s">
        <v>70</v>
      </c>
      <c r="G124" s="22" t="s">
        <v>52</v>
      </c>
      <c r="H124" s="23">
        <v>849</v>
      </c>
      <c r="I124" s="24">
        <v>5</v>
      </c>
      <c r="J124" s="25">
        <f t="shared" si="0"/>
        <v>4245</v>
      </c>
      <c r="K124" t="str">
        <f t="shared" si="2"/>
        <v>SI</v>
      </c>
    </row>
    <row r="125" spans="1:11" x14ac:dyDescent="0.35">
      <c r="A125" s="33">
        <v>43327</v>
      </c>
      <c r="B125" s="22" t="s">
        <v>102</v>
      </c>
      <c r="C125" s="22" t="s">
        <v>54</v>
      </c>
      <c r="D125" s="22" t="s">
        <v>49</v>
      </c>
      <c r="E125" s="22" t="s">
        <v>72</v>
      </c>
      <c r="F125" s="22" t="s">
        <v>73</v>
      </c>
      <c r="G125" s="22" t="s">
        <v>52</v>
      </c>
      <c r="H125" s="23">
        <v>849</v>
      </c>
      <c r="I125" s="24">
        <v>5</v>
      </c>
      <c r="J125" s="25">
        <f t="shared" si="0"/>
        <v>4245</v>
      </c>
      <c r="K125" t="str">
        <f t="shared" si="2"/>
        <v>SI</v>
      </c>
    </row>
    <row r="126" spans="1:11" x14ac:dyDescent="0.35">
      <c r="A126" s="33">
        <v>43327</v>
      </c>
      <c r="B126" s="22" t="s">
        <v>82</v>
      </c>
      <c r="C126" s="22" t="s">
        <v>71</v>
      </c>
      <c r="D126" s="22" t="s">
        <v>77</v>
      </c>
      <c r="E126" s="22" t="s">
        <v>62</v>
      </c>
      <c r="F126" s="22" t="s">
        <v>63</v>
      </c>
      <c r="G126" s="22" t="s">
        <v>52</v>
      </c>
      <c r="H126" s="23">
        <v>319</v>
      </c>
      <c r="I126" s="24">
        <v>30</v>
      </c>
      <c r="J126" s="25">
        <f t="shared" si="0"/>
        <v>9570</v>
      </c>
      <c r="K126" t="str">
        <f t="shared" si="2"/>
        <v>SI</v>
      </c>
    </row>
    <row r="127" spans="1:11" x14ac:dyDescent="0.35">
      <c r="A127" s="33">
        <v>43327</v>
      </c>
      <c r="B127" s="22" t="s">
        <v>82</v>
      </c>
      <c r="C127" s="22" t="s">
        <v>64</v>
      </c>
      <c r="D127" s="22" t="s">
        <v>77</v>
      </c>
      <c r="E127" s="22" t="s">
        <v>59</v>
      </c>
      <c r="F127" s="22" t="s">
        <v>99</v>
      </c>
      <c r="G127" s="22" t="s">
        <v>57</v>
      </c>
      <c r="H127" s="23">
        <v>249</v>
      </c>
      <c r="I127" s="24">
        <v>24</v>
      </c>
      <c r="J127" s="25">
        <f t="shared" si="0"/>
        <v>5976</v>
      </c>
      <c r="K127" t="str">
        <f t="shared" si="2"/>
        <v>SI</v>
      </c>
    </row>
    <row r="128" spans="1:11" x14ac:dyDescent="0.35">
      <c r="A128" s="33">
        <v>43327</v>
      </c>
      <c r="B128" s="22" t="s">
        <v>82</v>
      </c>
      <c r="C128" s="22" t="s">
        <v>97</v>
      </c>
      <c r="D128" s="22" t="s">
        <v>77</v>
      </c>
      <c r="E128" s="22" t="s">
        <v>50</v>
      </c>
      <c r="F128" s="22" t="s">
        <v>85</v>
      </c>
      <c r="G128" s="22" t="s">
        <v>57</v>
      </c>
      <c r="H128" s="23">
        <v>249</v>
      </c>
      <c r="I128" s="24">
        <v>25</v>
      </c>
      <c r="J128" s="25">
        <f t="shared" si="0"/>
        <v>6225</v>
      </c>
      <c r="K128" t="str">
        <f t="shared" si="2"/>
        <v>SI</v>
      </c>
    </row>
    <row r="129" spans="1:11" x14ac:dyDescent="0.35">
      <c r="A129" s="33">
        <v>43327</v>
      </c>
      <c r="B129" s="22" t="s">
        <v>82</v>
      </c>
      <c r="C129" s="22" t="s">
        <v>106</v>
      </c>
      <c r="D129" s="22" t="s">
        <v>77</v>
      </c>
      <c r="E129" s="22" t="s">
        <v>59</v>
      </c>
      <c r="F129" s="22" t="s">
        <v>99</v>
      </c>
      <c r="G129" s="22" t="s">
        <v>57</v>
      </c>
      <c r="H129" s="23">
        <v>229</v>
      </c>
      <c r="I129" s="24">
        <v>24</v>
      </c>
      <c r="J129" s="25">
        <f t="shared" si="0"/>
        <v>5496</v>
      </c>
      <c r="K129" t="str">
        <f t="shared" si="2"/>
        <v>SI</v>
      </c>
    </row>
    <row r="130" spans="1:11" x14ac:dyDescent="0.35">
      <c r="A130" s="33">
        <v>43327</v>
      </c>
      <c r="B130" s="22" t="s">
        <v>86</v>
      </c>
      <c r="C130" s="22" t="s">
        <v>58</v>
      </c>
      <c r="D130" s="22" t="s">
        <v>87</v>
      </c>
      <c r="E130" s="22" t="s">
        <v>72</v>
      </c>
      <c r="F130" s="22" t="s">
        <v>75</v>
      </c>
      <c r="G130" s="22" t="s">
        <v>52</v>
      </c>
      <c r="H130" s="23">
        <v>195</v>
      </c>
      <c r="I130" s="24">
        <v>35</v>
      </c>
      <c r="J130" s="25">
        <f t="shared" si="0"/>
        <v>6825</v>
      </c>
      <c r="K130" t="str">
        <f t="shared" si="2"/>
        <v>SI</v>
      </c>
    </row>
    <row r="131" spans="1:11" x14ac:dyDescent="0.35">
      <c r="A131" s="33">
        <v>43327</v>
      </c>
      <c r="B131" s="22" t="s">
        <v>91</v>
      </c>
      <c r="C131" s="22" t="s">
        <v>64</v>
      </c>
      <c r="D131" s="22" t="s">
        <v>92</v>
      </c>
      <c r="E131" s="22" t="s">
        <v>55</v>
      </c>
      <c r="F131" s="22" t="s">
        <v>65</v>
      </c>
      <c r="G131" s="22" t="s">
        <v>57</v>
      </c>
      <c r="H131" s="23">
        <v>139</v>
      </c>
      <c r="I131" s="24">
        <v>30</v>
      </c>
      <c r="J131" s="25">
        <f t="shared" si="0"/>
        <v>4170</v>
      </c>
      <c r="K131" t="str">
        <f t="shared" ref="K131:K194" si="3">IF(H131*I131=J131,"SI","Error")</f>
        <v>SI</v>
      </c>
    </row>
    <row r="132" spans="1:11" x14ac:dyDescent="0.35">
      <c r="A132" s="33">
        <v>43327</v>
      </c>
      <c r="B132" s="22" t="s">
        <v>95</v>
      </c>
      <c r="C132" s="22" t="s">
        <v>64</v>
      </c>
      <c r="D132" s="22" t="s">
        <v>87</v>
      </c>
      <c r="E132" s="22" t="s">
        <v>67</v>
      </c>
      <c r="F132" s="22" t="s">
        <v>68</v>
      </c>
      <c r="G132" s="22" t="s">
        <v>57</v>
      </c>
      <c r="H132" s="23">
        <v>99</v>
      </c>
      <c r="I132" s="24">
        <v>5</v>
      </c>
      <c r="J132" s="25">
        <f t="shared" si="0"/>
        <v>495</v>
      </c>
      <c r="K132" t="str">
        <f t="shared" si="3"/>
        <v>SI</v>
      </c>
    </row>
    <row r="133" spans="1:11" x14ac:dyDescent="0.35">
      <c r="A133" s="33">
        <v>43327</v>
      </c>
      <c r="B133" s="22" t="s">
        <v>95</v>
      </c>
      <c r="C133" s="22" t="s">
        <v>64</v>
      </c>
      <c r="D133" s="22" t="s">
        <v>87</v>
      </c>
      <c r="E133" s="22" t="s">
        <v>67</v>
      </c>
      <c r="F133" s="22" t="s">
        <v>68</v>
      </c>
      <c r="G133" s="22" t="s">
        <v>52</v>
      </c>
      <c r="H133" s="23">
        <v>99</v>
      </c>
      <c r="I133" s="24">
        <v>6</v>
      </c>
      <c r="J133" s="25">
        <f t="shared" si="0"/>
        <v>594</v>
      </c>
      <c r="K133" t="str">
        <f t="shared" si="3"/>
        <v>SI</v>
      </c>
    </row>
    <row r="134" spans="1:11" x14ac:dyDescent="0.35">
      <c r="A134" s="33">
        <v>43327</v>
      </c>
      <c r="B134" s="22" t="s">
        <v>94</v>
      </c>
      <c r="C134" s="22" t="s">
        <v>54</v>
      </c>
      <c r="D134" s="22" t="s">
        <v>87</v>
      </c>
      <c r="E134" s="22" t="s">
        <v>67</v>
      </c>
      <c r="F134" s="22" t="s">
        <v>88</v>
      </c>
      <c r="G134" s="22" t="s">
        <v>52</v>
      </c>
      <c r="H134" s="23">
        <v>99</v>
      </c>
      <c r="I134" s="24">
        <v>30</v>
      </c>
      <c r="J134" s="25">
        <f t="shared" si="0"/>
        <v>2970</v>
      </c>
      <c r="K134" t="str">
        <f t="shared" si="3"/>
        <v>SI</v>
      </c>
    </row>
    <row r="135" spans="1:11" x14ac:dyDescent="0.35">
      <c r="A135" s="33">
        <v>43327</v>
      </c>
      <c r="B135" s="22" t="s">
        <v>96</v>
      </c>
      <c r="C135" s="22" t="s">
        <v>58</v>
      </c>
      <c r="D135" s="22" t="s">
        <v>92</v>
      </c>
      <c r="E135" s="22" t="s">
        <v>67</v>
      </c>
      <c r="F135" s="22" t="s">
        <v>88</v>
      </c>
      <c r="G135" s="22" t="s">
        <v>57</v>
      </c>
      <c r="H135" s="23">
        <v>89</v>
      </c>
      <c r="I135" s="24">
        <v>8</v>
      </c>
      <c r="J135" s="25">
        <f t="shared" si="0"/>
        <v>712</v>
      </c>
      <c r="K135" t="str">
        <f t="shared" si="3"/>
        <v>SI</v>
      </c>
    </row>
    <row r="136" spans="1:11" x14ac:dyDescent="0.35">
      <c r="A136" s="33">
        <v>43327</v>
      </c>
      <c r="B136" s="22" t="s">
        <v>95</v>
      </c>
      <c r="C136" s="22" t="s">
        <v>71</v>
      </c>
      <c r="D136" s="22" t="s">
        <v>87</v>
      </c>
      <c r="E136" s="22" t="s">
        <v>50</v>
      </c>
      <c r="F136" s="22" t="s">
        <v>51</v>
      </c>
      <c r="G136" s="22" t="s">
        <v>52</v>
      </c>
      <c r="H136" s="23">
        <v>75</v>
      </c>
      <c r="I136" s="24">
        <v>40</v>
      </c>
      <c r="J136" s="25">
        <f t="shared" si="0"/>
        <v>3000</v>
      </c>
      <c r="K136" t="str">
        <f t="shared" si="3"/>
        <v>SI</v>
      </c>
    </row>
    <row r="137" spans="1:11" x14ac:dyDescent="0.35">
      <c r="A137" s="33">
        <v>43327</v>
      </c>
      <c r="B137" s="22" t="s">
        <v>95</v>
      </c>
      <c r="C137" s="22" t="s">
        <v>58</v>
      </c>
      <c r="D137" s="22" t="s">
        <v>87</v>
      </c>
      <c r="E137" s="22" t="s">
        <v>72</v>
      </c>
      <c r="F137" s="22" t="s">
        <v>83</v>
      </c>
      <c r="G137" s="22" t="s">
        <v>52</v>
      </c>
      <c r="H137" s="23">
        <v>75</v>
      </c>
      <c r="I137" s="24">
        <v>10</v>
      </c>
      <c r="J137" s="25">
        <f t="shared" si="0"/>
        <v>750</v>
      </c>
      <c r="K137" t="str">
        <f t="shared" si="3"/>
        <v>SI</v>
      </c>
    </row>
    <row r="138" spans="1:11" x14ac:dyDescent="0.35">
      <c r="A138" s="33">
        <v>43327</v>
      </c>
      <c r="B138" s="22" t="s">
        <v>105</v>
      </c>
      <c r="C138" s="22" t="s">
        <v>64</v>
      </c>
      <c r="D138" s="22" t="s">
        <v>92</v>
      </c>
      <c r="E138" s="22" t="s">
        <v>59</v>
      </c>
      <c r="F138" s="22" t="s">
        <v>78</v>
      </c>
      <c r="G138" s="22" t="s">
        <v>57</v>
      </c>
      <c r="H138" s="23">
        <v>39</v>
      </c>
      <c r="I138" s="24">
        <v>7</v>
      </c>
      <c r="J138" s="25">
        <f t="shared" si="0"/>
        <v>273</v>
      </c>
      <c r="K138" t="str">
        <f t="shared" si="3"/>
        <v>SI</v>
      </c>
    </row>
    <row r="139" spans="1:11" x14ac:dyDescent="0.35">
      <c r="A139" s="33">
        <v>43328</v>
      </c>
      <c r="B139" s="22" t="s">
        <v>47</v>
      </c>
      <c r="C139" s="22" t="s">
        <v>54</v>
      </c>
      <c r="D139" s="22" t="s">
        <v>49</v>
      </c>
      <c r="E139" s="22" t="s">
        <v>55</v>
      </c>
      <c r="F139" s="22" t="s">
        <v>84</v>
      </c>
      <c r="G139" s="22" t="s">
        <v>57</v>
      </c>
      <c r="H139" s="23">
        <v>2279</v>
      </c>
      <c r="I139" s="24">
        <v>10</v>
      </c>
      <c r="J139" s="25">
        <f t="shared" si="0"/>
        <v>22790</v>
      </c>
      <c r="K139" t="str">
        <f t="shared" si="3"/>
        <v>SI</v>
      </c>
    </row>
    <row r="140" spans="1:11" x14ac:dyDescent="0.35">
      <c r="A140" s="33">
        <v>43328</v>
      </c>
      <c r="B140" s="22" t="s">
        <v>47</v>
      </c>
      <c r="C140" s="22" t="s">
        <v>64</v>
      </c>
      <c r="D140" s="22" t="s">
        <v>49</v>
      </c>
      <c r="E140" s="22" t="s">
        <v>67</v>
      </c>
      <c r="F140" s="22" t="s">
        <v>68</v>
      </c>
      <c r="G140" s="22" t="s">
        <v>57</v>
      </c>
      <c r="H140" s="23">
        <v>2279</v>
      </c>
      <c r="I140" s="24">
        <v>30</v>
      </c>
      <c r="J140" s="25">
        <f t="shared" si="0"/>
        <v>68370</v>
      </c>
      <c r="K140" t="str">
        <f t="shared" si="3"/>
        <v>SI</v>
      </c>
    </row>
    <row r="141" spans="1:11" x14ac:dyDescent="0.35">
      <c r="A141" s="33">
        <v>43328</v>
      </c>
      <c r="B141" s="22" t="s">
        <v>47</v>
      </c>
      <c r="C141" s="22" t="s">
        <v>64</v>
      </c>
      <c r="D141" s="22" t="s">
        <v>49</v>
      </c>
      <c r="E141" s="22" t="s">
        <v>59</v>
      </c>
      <c r="F141" s="22" t="s">
        <v>60</v>
      </c>
      <c r="G141" s="22" t="s">
        <v>52</v>
      </c>
      <c r="H141" s="23">
        <v>1599</v>
      </c>
      <c r="I141" s="24">
        <v>10</v>
      </c>
      <c r="J141" s="25">
        <f t="shared" si="0"/>
        <v>15990</v>
      </c>
      <c r="K141" t="str">
        <f t="shared" si="3"/>
        <v>SI</v>
      </c>
    </row>
    <row r="142" spans="1:11" x14ac:dyDescent="0.35">
      <c r="A142" s="33">
        <v>43328</v>
      </c>
      <c r="B142" s="22" t="s">
        <v>53</v>
      </c>
      <c r="C142" s="22" t="s">
        <v>64</v>
      </c>
      <c r="D142" s="22" t="s">
        <v>49</v>
      </c>
      <c r="E142" s="22" t="s">
        <v>62</v>
      </c>
      <c r="F142" s="22" t="s">
        <v>79</v>
      </c>
      <c r="G142" s="22" t="s">
        <v>57</v>
      </c>
      <c r="H142" s="23">
        <v>1579</v>
      </c>
      <c r="I142" s="24">
        <v>24</v>
      </c>
      <c r="J142" s="25">
        <f t="shared" si="0"/>
        <v>37896</v>
      </c>
      <c r="K142" t="str">
        <f t="shared" si="3"/>
        <v>SI</v>
      </c>
    </row>
    <row r="143" spans="1:11" x14ac:dyDescent="0.35">
      <c r="A143" s="33">
        <v>43328</v>
      </c>
      <c r="B143" s="22" t="s">
        <v>61</v>
      </c>
      <c r="C143" s="22" t="s">
        <v>54</v>
      </c>
      <c r="D143" s="22" t="s">
        <v>49</v>
      </c>
      <c r="E143" s="22" t="s">
        <v>59</v>
      </c>
      <c r="F143" s="22" t="s">
        <v>78</v>
      </c>
      <c r="G143" s="22" t="s">
        <v>57</v>
      </c>
      <c r="H143" s="23">
        <v>1399</v>
      </c>
      <c r="I143" s="24">
        <v>40</v>
      </c>
      <c r="J143" s="25">
        <f t="shared" si="0"/>
        <v>55960</v>
      </c>
      <c r="K143" t="str">
        <f t="shared" si="3"/>
        <v>SI</v>
      </c>
    </row>
    <row r="144" spans="1:11" x14ac:dyDescent="0.35">
      <c r="A144" s="33">
        <v>43328</v>
      </c>
      <c r="B144" s="22" t="s">
        <v>53</v>
      </c>
      <c r="C144" s="22" t="s">
        <v>64</v>
      </c>
      <c r="D144" s="22" t="s">
        <v>49</v>
      </c>
      <c r="E144" s="22" t="s">
        <v>55</v>
      </c>
      <c r="F144" s="22" t="s">
        <v>65</v>
      </c>
      <c r="G144" s="22" t="s">
        <v>52</v>
      </c>
      <c r="H144" s="23">
        <v>1279</v>
      </c>
      <c r="I144" s="24">
        <v>25</v>
      </c>
      <c r="J144" s="25">
        <f t="shared" si="0"/>
        <v>31975</v>
      </c>
      <c r="K144" t="str">
        <f t="shared" si="3"/>
        <v>SI</v>
      </c>
    </row>
    <row r="145" spans="1:11" x14ac:dyDescent="0.35">
      <c r="A145" s="33">
        <v>43328</v>
      </c>
      <c r="B145" s="22" t="s">
        <v>53</v>
      </c>
      <c r="C145" s="22" t="s">
        <v>58</v>
      </c>
      <c r="D145" s="22" t="s">
        <v>49</v>
      </c>
      <c r="E145" s="22" t="s">
        <v>72</v>
      </c>
      <c r="F145" s="22" t="s">
        <v>83</v>
      </c>
      <c r="G145" s="22" t="s">
        <v>57</v>
      </c>
      <c r="H145" s="23">
        <v>1279</v>
      </c>
      <c r="I145" s="24">
        <v>7</v>
      </c>
      <c r="J145" s="25">
        <f t="shared" si="0"/>
        <v>8953</v>
      </c>
      <c r="K145" t="str">
        <f t="shared" si="3"/>
        <v>SI</v>
      </c>
    </row>
    <row r="146" spans="1:11" x14ac:dyDescent="0.35">
      <c r="A146" s="33">
        <v>43328</v>
      </c>
      <c r="B146" s="22" t="s">
        <v>53</v>
      </c>
      <c r="C146" s="22" t="s">
        <v>58</v>
      </c>
      <c r="D146" s="22" t="s">
        <v>49</v>
      </c>
      <c r="E146" s="22" t="s">
        <v>55</v>
      </c>
      <c r="F146" s="22" t="s">
        <v>84</v>
      </c>
      <c r="G146" s="22" t="s">
        <v>57</v>
      </c>
      <c r="H146" s="23">
        <v>1269</v>
      </c>
      <c r="I146" s="24">
        <v>30</v>
      </c>
      <c r="J146" s="25">
        <f t="shared" si="0"/>
        <v>38070</v>
      </c>
      <c r="K146" t="str">
        <f t="shared" si="3"/>
        <v>SI</v>
      </c>
    </row>
    <row r="147" spans="1:11" x14ac:dyDescent="0.35">
      <c r="A147" s="33">
        <v>43328</v>
      </c>
      <c r="B147" s="22" t="s">
        <v>53</v>
      </c>
      <c r="C147" s="22" t="s">
        <v>58</v>
      </c>
      <c r="D147" s="22" t="s">
        <v>49</v>
      </c>
      <c r="E147" s="22" t="s">
        <v>67</v>
      </c>
      <c r="F147" s="22" t="s">
        <v>88</v>
      </c>
      <c r="G147" s="22" t="s">
        <v>52</v>
      </c>
      <c r="H147" s="23">
        <v>1269</v>
      </c>
      <c r="I147" s="24">
        <v>35</v>
      </c>
      <c r="J147" s="25">
        <f t="shared" si="0"/>
        <v>44415</v>
      </c>
      <c r="K147" t="str">
        <f t="shared" si="3"/>
        <v>SI</v>
      </c>
    </row>
    <row r="148" spans="1:11" x14ac:dyDescent="0.35">
      <c r="A148" s="33">
        <v>43328</v>
      </c>
      <c r="B148" s="22" t="s">
        <v>74</v>
      </c>
      <c r="C148" s="22" t="s">
        <v>48</v>
      </c>
      <c r="D148" s="22" t="s">
        <v>49</v>
      </c>
      <c r="E148" s="22" t="s">
        <v>67</v>
      </c>
      <c r="F148" s="22" t="s">
        <v>70</v>
      </c>
      <c r="G148" s="22" t="s">
        <v>57</v>
      </c>
      <c r="H148" s="23">
        <v>1169</v>
      </c>
      <c r="I148" s="24">
        <v>36</v>
      </c>
      <c r="J148" s="25">
        <f t="shared" si="0"/>
        <v>42084</v>
      </c>
      <c r="K148" t="str">
        <f t="shared" si="3"/>
        <v>SI</v>
      </c>
    </row>
    <row r="149" spans="1:11" x14ac:dyDescent="0.35">
      <c r="A149" s="33">
        <v>43328</v>
      </c>
      <c r="B149" s="22" t="s">
        <v>74</v>
      </c>
      <c r="C149" s="22" t="s">
        <v>58</v>
      </c>
      <c r="D149" s="22" t="s">
        <v>49</v>
      </c>
      <c r="E149" s="22" t="s">
        <v>62</v>
      </c>
      <c r="F149" s="22" t="s">
        <v>79</v>
      </c>
      <c r="G149" s="22" t="s">
        <v>57</v>
      </c>
      <c r="H149" s="23">
        <v>1169</v>
      </c>
      <c r="I149" s="24">
        <v>10</v>
      </c>
      <c r="J149" s="25">
        <f t="shared" si="0"/>
        <v>11690</v>
      </c>
      <c r="K149" t="str">
        <f t="shared" si="3"/>
        <v>SI</v>
      </c>
    </row>
    <row r="150" spans="1:11" x14ac:dyDescent="0.35">
      <c r="A150" s="33">
        <v>43328</v>
      </c>
      <c r="B150" s="22" t="s">
        <v>74</v>
      </c>
      <c r="C150" s="22" t="s">
        <v>69</v>
      </c>
      <c r="D150" s="22" t="s">
        <v>49</v>
      </c>
      <c r="E150" s="22" t="s">
        <v>59</v>
      </c>
      <c r="F150" s="22" t="s">
        <v>99</v>
      </c>
      <c r="G150" s="22" t="s">
        <v>57</v>
      </c>
      <c r="H150" s="23">
        <v>1169</v>
      </c>
      <c r="I150" s="24">
        <v>40</v>
      </c>
      <c r="J150" s="25">
        <f t="shared" si="0"/>
        <v>46760</v>
      </c>
      <c r="K150" t="str">
        <f t="shared" si="3"/>
        <v>SI</v>
      </c>
    </row>
    <row r="151" spans="1:11" x14ac:dyDescent="0.35">
      <c r="A151" s="33">
        <v>43328</v>
      </c>
      <c r="B151" s="22" t="s">
        <v>76</v>
      </c>
      <c r="C151" s="22" t="s">
        <v>58</v>
      </c>
      <c r="D151" s="22" t="s">
        <v>77</v>
      </c>
      <c r="E151" s="22" t="s">
        <v>50</v>
      </c>
      <c r="F151" s="22" t="s">
        <v>85</v>
      </c>
      <c r="G151" s="22" t="s">
        <v>57</v>
      </c>
      <c r="H151" s="23">
        <v>1003</v>
      </c>
      <c r="I151" s="24">
        <v>45</v>
      </c>
      <c r="J151" s="25">
        <f t="shared" si="0"/>
        <v>45135</v>
      </c>
      <c r="K151" t="str">
        <f t="shared" si="3"/>
        <v>SI</v>
      </c>
    </row>
    <row r="152" spans="1:11" x14ac:dyDescent="0.35">
      <c r="A152" s="33">
        <v>43328</v>
      </c>
      <c r="B152" s="22" t="s">
        <v>80</v>
      </c>
      <c r="C152" s="22" t="s">
        <v>58</v>
      </c>
      <c r="D152" s="22" t="s">
        <v>77</v>
      </c>
      <c r="E152" s="22" t="s">
        <v>62</v>
      </c>
      <c r="F152" s="22" t="s">
        <v>63</v>
      </c>
      <c r="G152" s="22" t="s">
        <v>52</v>
      </c>
      <c r="H152" s="23">
        <v>999</v>
      </c>
      <c r="I152" s="24">
        <v>7</v>
      </c>
      <c r="J152" s="25">
        <f t="shared" si="0"/>
        <v>6993</v>
      </c>
      <c r="K152" t="str">
        <f t="shared" si="3"/>
        <v>SI</v>
      </c>
    </row>
    <row r="153" spans="1:11" x14ac:dyDescent="0.35">
      <c r="A153" s="33">
        <v>43328</v>
      </c>
      <c r="B153" s="22" t="s">
        <v>80</v>
      </c>
      <c r="C153" s="22" t="s">
        <v>58</v>
      </c>
      <c r="D153" s="22" t="s">
        <v>77</v>
      </c>
      <c r="E153" s="22" t="s">
        <v>50</v>
      </c>
      <c r="F153" s="22" t="s">
        <v>81</v>
      </c>
      <c r="G153" s="22" t="s">
        <v>52</v>
      </c>
      <c r="H153" s="23">
        <v>999</v>
      </c>
      <c r="I153" s="24">
        <v>36</v>
      </c>
      <c r="J153" s="25">
        <f t="shared" si="0"/>
        <v>35964</v>
      </c>
      <c r="K153" t="str">
        <f t="shared" si="3"/>
        <v>SI</v>
      </c>
    </row>
    <row r="154" spans="1:11" x14ac:dyDescent="0.35">
      <c r="A154" s="33">
        <v>43328</v>
      </c>
      <c r="B154" s="22" t="s">
        <v>76</v>
      </c>
      <c r="C154" s="22" t="s">
        <v>58</v>
      </c>
      <c r="D154" s="22" t="s">
        <v>77</v>
      </c>
      <c r="E154" s="22" t="s">
        <v>72</v>
      </c>
      <c r="F154" s="22" t="s">
        <v>75</v>
      </c>
      <c r="G154" s="22" t="s">
        <v>57</v>
      </c>
      <c r="H154" s="23">
        <v>999</v>
      </c>
      <c r="I154" s="24">
        <v>1</v>
      </c>
      <c r="J154" s="25">
        <f t="shared" si="0"/>
        <v>999</v>
      </c>
      <c r="K154" t="str">
        <f t="shared" si="3"/>
        <v>SI</v>
      </c>
    </row>
    <row r="155" spans="1:11" x14ac:dyDescent="0.35">
      <c r="A155" s="33">
        <v>43328</v>
      </c>
      <c r="B155" s="22" t="s">
        <v>102</v>
      </c>
      <c r="C155" s="22" t="s">
        <v>64</v>
      </c>
      <c r="D155" s="22" t="s">
        <v>49</v>
      </c>
      <c r="E155" s="22" t="s">
        <v>62</v>
      </c>
      <c r="F155" s="22" t="s">
        <v>79</v>
      </c>
      <c r="G155" s="22" t="s">
        <v>57</v>
      </c>
      <c r="H155" s="23">
        <v>849</v>
      </c>
      <c r="I155" s="24">
        <v>10</v>
      </c>
      <c r="J155" s="25">
        <f t="shared" si="0"/>
        <v>8490</v>
      </c>
      <c r="K155" t="str">
        <f t="shared" si="3"/>
        <v>SI</v>
      </c>
    </row>
    <row r="156" spans="1:11" x14ac:dyDescent="0.35">
      <c r="A156" s="33">
        <v>43328</v>
      </c>
      <c r="B156" s="22" t="s">
        <v>61</v>
      </c>
      <c r="C156" s="22" t="s">
        <v>54</v>
      </c>
      <c r="D156" s="22" t="s">
        <v>49</v>
      </c>
      <c r="E156" s="22" t="s">
        <v>55</v>
      </c>
      <c r="F156" s="22" t="s">
        <v>84</v>
      </c>
      <c r="G156" s="22" t="s">
        <v>52</v>
      </c>
      <c r="H156" s="23">
        <v>699</v>
      </c>
      <c r="I156" s="24">
        <v>40</v>
      </c>
      <c r="J156" s="25">
        <f t="shared" si="0"/>
        <v>27960</v>
      </c>
      <c r="K156" t="str">
        <f t="shared" si="3"/>
        <v>SI</v>
      </c>
    </row>
    <row r="157" spans="1:11" x14ac:dyDescent="0.35">
      <c r="A157" s="33">
        <v>43328</v>
      </c>
      <c r="B157" s="22" t="s">
        <v>61</v>
      </c>
      <c r="C157" s="22" t="s">
        <v>48</v>
      </c>
      <c r="D157" s="22" t="s">
        <v>49</v>
      </c>
      <c r="E157" s="22" t="s">
        <v>67</v>
      </c>
      <c r="F157" s="22" t="s">
        <v>70</v>
      </c>
      <c r="G157" s="22" t="s">
        <v>57</v>
      </c>
      <c r="H157" s="23">
        <v>699</v>
      </c>
      <c r="I157" s="24">
        <v>6</v>
      </c>
      <c r="J157" s="25">
        <f t="shared" si="0"/>
        <v>4194</v>
      </c>
      <c r="K157" t="str">
        <f t="shared" si="3"/>
        <v>SI</v>
      </c>
    </row>
    <row r="158" spans="1:11" x14ac:dyDescent="0.35">
      <c r="A158" s="33">
        <v>43328</v>
      </c>
      <c r="B158" s="22" t="s">
        <v>82</v>
      </c>
      <c r="C158" s="22" t="s">
        <v>58</v>
      </c>
      <c r="D158" s="22" t="s">
        <v>77</v>
      </c>
      <c r="E158" s="22" t="s">
        <v>55</v>
      </c>
      <c r="F158" s="22" t="s">
        <v>84</v>
      </c>
      <c r="G158" s="22" t="s">
        <v>52</v>
      </c>
      <c r="H158" s="23">
        <v>329</v>
      </c>
      <c r="I158" s="24">
        <v>25</v>
      </c>
      <c r="J158" s="25">
        <f t="shared" si="0"/>
        <v>8225</v>
      </c>
      <c r="K158" t="str">
        <f t="shared" si="3"/>
        <v>SI</v>
      </c>
    </row>
    <row r="159" spans="1:11" x14ac:dyDescent="0.35">
      <c r="A159" s="33">
        <v>43328</v>
      </c>
      <c r="B159" s="22" t="s">
        <v>82</v>
      </c>
      <c r="C159" s="22" t="s">
        <v>64</v>
      </c>
      <c r="D159" s="22" t="s">
        <v>77</v>
      </c>
      <c r="E159" s="22" t="s">
        <v>59</v>
      </c>
      <c r="F159" s="22" t="s">
        <v>99</v>
      </c>
      <c r="G159" s="22" t="s">
        <v>57</v>
      </c>
      <c r="H159" s="23">
        <v>329</v>
      </c>
      <c r="I159" s="24">
        <v>7</v>
      </c>
      <c r="J159" s="25">
        <f t="shared" si="0"/>
        <v>2303</v>
      </c>
      <c r="K159" t="str">
        <f t="shared" si="3"/>
        <v>SI</v>
      </c>
    </row>
    <row r="160" spans="1:11" x14ac:dyDescent="0.35">
      <c r="A160" s="33">
        <v>43328</v>
      </c>
      <c r="B160" s="22" t="s">
        <v>82</v>
      </c>
      <c r="C160" s="22" t="s">
        <v>58</v>
      </c>
      <c r="D160" s="22" t="s">
        <v>77</v>
      </c>
      <c r="E160" s="22" t="s">
        <v>67</v>
      </c>
      <c r="F160" s="22" t="s">
        <v>68</v>
      </c>
      <c r="G160" s="22" t="s">
        <v>57</v>
      </c>
      <c r="H160" s="23">
        <v>319</v>
      </c>
      <c r="I160" s="24">
        <v>10</v>
      </c>
      <c r="J160" s="25">
        <f t="shared" si="0"/>
        <v>3190</v>
      </c>
      <c r="K160" t="str">
        <f t="shared" si="3"/>
        <v>SI</v>
      </c>
    </row>
    <row r="161" spans="1:11" x14ac:dyDescent="0.35">
      <c r="A161" s="33">
        <v>43328</v>
      </c>
      <c r="B161" s="22" t="s">
        <v>98</v>
      </c>
      <c r="C161" s="22" t="s">
        <v>48</v>
      </c>
      <c r="D161" s="22" t="s">
        <v>49</v>
      </c>
      <c r="E161" s="22" t="s">
        <v>62</v>
      </c>
      <c r="F161" s="22" t="s">
        <v>79</v>
      </c>
      <c r="G161" s="22" t="s">
        <v>52</v>
      </c>
      <c r="H161" s="23">
        <v>259</v>
      </c>
      <c r="I161" s="24">
        <v>10</v>
      </c>
      <c r="J161" s="25">
        <f t="shared" si="0"/>
        <v>2590</v>
      </c>
      <c r="K161" t="str">
        <f t="shared" si="3"/>
        <v>SI</v>
      </c>
    </row>
    <row r="162" spans="1:11" x14ac:dyDescent="0.35">
      <c r="A162" s="33">
        <v>43328</v>
      </c>
      <c r="B162" s="22" t="s">
        <v>98</v>
      </c>
      <c r="C162" s="22" t="s">
        <v>71</v>
      </c>
      <c r="D162" s="22" t="s">
        <v>49</v>
      </c>
      <c r="E162" s="22" t="s">
        <v>50</v>
      </c>
      <c r="F162" s="22" t="s">
        <v>85</v>
      </c>
      <c r="G162" s="22" t="s">
        <v>57</v>
      </c>
      <c r="H162" s="23">
        <v>259</v>
      </c>
      <c r="I162" s="24">
        <v>5</v>
      </c>
      <c r="J162" s="25">
        <f t="shared" si="0"/>
        <v>1295</v>
      </c>
      <c r="K162" t="str">
        <f t="shared" si="3"/>
        <v>SI</v>
      </c>
    </row>
    <row r="163" spans="1:11" x14ac:dyDescent="0.35">
      <c r="A163" s="33">
        <v>43328</v>
      </c>
      <c r="B163" s="22" t="s">
        <v>82</v>
      </c>
      <c r="C163" s="22" t="s">
        <v>58</v>
      </c>
      <c r="D163" s="22" t="s">
        <v>77</v>
      </c>
      <c r="E163" s="22" t="s">
        <v>62</v>
      </c>
      <c r="F163" s="22" t="s">
        <v>63</v>
      </c>
      <c r="G163" s="22" t="s">
        <v>57</v>
      </c>
      <c r="H163" s="23">
        <v>249</v>
      </c>
      <c r="I163" s="24">
        <v>30</v>
      </c>
      <c r="J163" s="25">
        <f t="shared" si="0"/>
        <v>7470</v>
      </c>
      <c r="K163" t="str">
        <f t="shared" si="3"/>
        <v>SI</v>
      </c>
    </row>
    <row r="164" spans="1:11" x14ac:dyDescent="0.35">
      <c r="A164" s="33">
        <v>43328</v>
      </c>
      <c r="B164" s="22" t="s">
        <v>82</v>
      </c>
      <c r="C164" s="22" t="s">
        <v>97</v>
      </c>
      <c r="D164" s="22" t="s">
        <v>77</v>
      </c>
      <c r="E164" s="22" t="s">
        <v>62</v>
      </c>
      <c r="F164" s="22" t="s">
        <v>63</v>
      </c>
      <c r="G164" s="22" t="s">
        <v>57</v>
      </c>
      <c r="H164" s="23">
        <v>249</v>
      </c>
      <c r="I164" s="24">
        <v>10</v>
      </c>
      <c r="J164" s="25">
        <f t="shared" si="0"/>
        <v>2490</v>
      </c>
      <c r="K164" t="str">
        <f t="shared" si="3"/>
        <v>SI</v>
      </c>
    </row>
    <row r="165" spans="1:11" x14ac:dyDescent="0.35">
      <c r="A165" s="33">
        <v>43328</v>
      </c>
      <c r="B165" s="22" t="s">
        <v>82</v>
      </c>
      <c r="C165" s="22" t="s">
        <v>101</v>
      </c>
      <c r="D165" s="22" t="s">
        <v>77</v>
      </c>
      <c r="E165" s="22" t="s">
        <v>59</v>
      </c>
      <c r="F165" s="22" t="s">
        <v>60</v>
      </c>
      <c r="G165" s="22" t="s">
        <v>57</v>
      </c>
      <c r="H165" s="23">
        <v>249</v>
      </c>
      <c r="I165" s="24">
        <v>6</v>
      </c>
      <c r="J165" s="25">
        <f t="shared" si="0"/>
        <v>1494</v>
      </c>
      <c r="K165" t="str">
        <f t="shared" si="3"/>
        <v>SI</v>
      </c>
    </row>
    <row r="166" spans="1:11" x14ac:dyDescent="0.35">
      <c r="A166" s="33">
        <v>43328</v>
      </c>
      <c r="B166" s="22" t="s">
        <v>82</v>
      </c>
      <c r="C166" s="22" t="s">
        <v>97</v>
      </c>
      <c r="D166" s="22" t="s">
        <v>77</v>
      </c>
      <c r="E166" s="22" t="s">
        <v>67</v>
      </c>
      <c r="F166" s="22" t="s">
        <v>68</v>
      </c>
      <c r="G166" s="22" t="s">
        <v>52</v>
      </c>
      <c r="H166" s="23">
        <v>229</v>
      </c>
      <c r="I166" s="24">
        <v>45</v>
      </c>
      <c r="J166" s="25">
        <f t="shared" si="0"/>
        <v>10305</v>
      </c>
      <c r="K166" t="str">
        <f t="shared" si="3"/>
        <v>SI</v>
      </c>
    </row>
    <row r="167" spans="1:11" x14ac:dyDescent="0.35">
      <c r="A167" s="33">
        <v>43328</v>
      </c>
      <c r="B167" s="22" t="s">
        <v>82</v>
      </c>
      <c r="C167" s="22" t="s">
        <v>106</v>
      </c>
      <c r="D167" s="22" t="s">
        <v>77</v>
      </c>
      <c r="E167" s="22" t="s">
        <v>72</v>
      </c>
      <c r="F167" s="22" t="s">
        <v>73</v>
      </c>
      <c r="G167" s="22" t="s">
        <v>52</v>
      </c>
      <c r="H167" s="23">
        <v>229</v>
      </c>
      <c r="I167" s="24">
        <v>10</v>
      </c>
      <c r="J167" s="25">
        <f t="shared" si="0"/>
        <v>2290</v>
      </c>
      <c r="K167" t="str">
        <f t="shared" si="3"/>
        <v>SI</v>
      </c>
    </row>
    <row r="168" spans="1:11" x14ac:dyDescent="0.35">
      <c r="A168" s="33">
        <v>43328</v>
      </c>
      <c r="B168" s="22" t="s">
        <v>86</v>
      </c>
      <c r="C168" s="22" t="s">
        <v>58</v>
      </c>
      <c r="D168" s="22" t="s">
        <v>87</v>
      </c>
      <c r="E168" s="22" t="s">
        <v>62</v>
      </c>
      <c r="F168" s="22" t="s">
        <v>63</v>
      </c>
      <c r="G168" s="22" t="s">
        <v>52</v>
      </c>
      <c r="H168" s="23">
        <v>195</v>
      </c>
      <c r="I168" s="24">
        <v>30</v>
      </c>
      <c r="J168" s="25">
        <f t="shared" si="0"/>
        <v>5850</v>
      </c>
      <c r="K168" t="str">
        <f t="shared" si="3"/>
        <v>SI</v>
      </c>
    </row>
    <row r="169" spans="1:11" x14ac:dyDescent="0.35">
      <c r="A169" s="33">
        <v>43328</v>
      </c>
      <c r="B169" s="22" t="s">
        <v>86</v>
      </c>
      <c r="C169" s="22" t="s">
        <v>58</v>
      </c>
      <c r="D169" s="22" t="s">
        <v>87</v>
      </c>
      <c r="E169" s="22" t="s">
        <v>59</v>
      </c>
      <c r="F169" s="22" t="s">
        <v>60</v>
      </c>
      <c r="G169" s="22" t="s">
        <v>57</v>
      </c>
      <c r="H169" s="23">
        <v>195</v>
      </c>
      <c r="I169" s="24">
        <v>10</v>
      </c>
      <c r="J169" s="25">
        <f t="shared" si="0"/>
        <v>1950</v>
      </c>
      <c r="K169" t="str">
        <f t="shared" si="3"/>
        <v>SI</v>
      </c>
    </row>
    <row r="170" spans="1:11" x14ac:dyDescent="0.35">
      <c r="A170" s="33">
        <v>43328</v>
      </c>
      <c r="B170" s="22" t="s">
        <v>104</v>
      </c>
      <c r="C170" s="22" t="s">
        <v>71</v>
      </c>
      <c r="D170" s="22" t="s">
        <v>87</v>
      </c>
      <c r="E170" s="22" t="s">
        <v>55</v>
      </c>
      <c r="F170" s="22" t="s">
        <v>65</v>
      </c>
      <c r="G170" s="22" t="s">
        <v>57</v>
      </c>
      <c r="H170" s="23">
        <v>155</v>
      </c>
      <c r="I170" s="24">
        <v>25</v>
      </c>
      <c r="J170" s="25">
        <f t="shared" si="0"/>
        <v>3875</v>
      </c>
      <c r="K170" t="str">
        <f t="shared" si="3"/>
        <v>SI</v>
      </c>
    </row>
    <row r="171" spans="1:11" x14ac:dyDescent="0.35">
      <c r="A171" s="33">
        <v>43328</v>
      </c>
      <c r="B171" s="22" t="s">
        <v>91</v>
      </c>
      <c r="C171" s="22" t="s">
        <v>64</v>
      </c>
      <c r="D171" s="22" t="s">
        <v>92</v>
      </c>
      <c r="E171" s="22" t="s">
        <v>72</v>
      </c>
      <c r="F171" s="22" t="s">
        <v>73</v>
      </c>
      <c r="G171" s="22" t="s">
        <v>57</v>
      </c>
      <c r="H171" s="23">
        <v>139</v>
      </c>
      <c r="I171" s="24">
        <v>36</v>
      </c>
      <c r="J171" s="25">
        <f t="shared" si="0"/>
        <v>5004</v>
      </c>
      <c r="K171" t="str">
        <f t="shared" si="3"/>
        <v>SI</v>
      </c>
    </row>
    <row r="172" spans="1:11" x14ac:dyDescent="0.35">
      <c r="A172" s="33">
        <v>43328</v>
      </c>
      <c r="B172" s="22" t="s">
        <v>89</v>
      </c>
      <c r="C172" s="22" t="s">
        <v>58</v>
      </c>
      <c r="D172" s="22" t="s">
        <v>90</v>
      </c>
      <c r="E172" s="22" t="s">
        <v>55</v>
      </c>
      <c r="F172" s="22" t="s">
        <v>65</v>
      </c>
      <c r="G172" s="22" t="s">
        <v>52</v>
      </c>
      <c r="H172" s="23">
        <v>119</v>
      </c>
      <c r="I172" s="24">
        <v>45</v>
      </c>
      <c r="J172" s="25">
        <f t="shared" si="0"/>
        <v>5355</v>
      </c>
      <c r="K172" t="str">
        <f t="shared" si="3"/>
        <v>SI</v>
      </c>
    </row>
    <row r="173" spans="1:11" x14ac:dyDescent="0.35">
      <c r="A173" s="33">
        <v>43328</v>
      </c>
      <c r="B173" s="22" t="s">
        <v>89</v>
      </c>
      <c r="C173" s="22" t="s">
        <v>58</v>
      </c>
      <c r="D173" s="22" t="s">
        <v>90</v>
      </c>
      <c r="E173" s="22" t="s">
        <v>62</v>
      </c>
      <c r="F173" s="22" t="s">
        <v>63</v>
      </c>
      <c r="G173" s="22" t="s">
        <v>52</v>
      </c>
      <c r="H173" s="23">
        <v>119</v>
      </c>
      <c r="I173" s="24">
        <v>40</v>
      </c>
      <c r="J173" s="25">
        <f t="shared" si="0"/>
        <v>4760</v>
      </c>
      <c r="K173" t="str">
        <f t="shared" si="3"/>
        <v>SI</v>
      </c>
    </row>
    <row r="174" spans="1:11" x14ac:dyDescent="0.35">
      <c r="A174" s="33">
        <v>43328</v>
      </c>
      <c r="B174" s="22" t="s">
        <v>95</v>
      </c>
      <c r="C174" s="22" t="s">
        <v>97</v>
      </c>
      <c r="D174" s="22" t="s">
        <v>87</v>
      </c>
      <c r="E174" s="22" t="s">
        <v>50</v>
      </c>
      <c r="F174" s="22" t="s">
        <v>85</v>
      </c>
      <c r="G174" s="22" t="s">
        <v>52</v>
      </c>
      <c r="H174" s="23">
        <v>99</v>
      </c>
      <c r="I174" s="24">
        <v>10</v>
      </c>
      <c r="J174" s="25">
        <f t="shared" si="0"/>
        <v>990</v>
      </c>
      <c r="K174" t="str">
        <f t="shared" si="3"/>
        <v>SI</v>
      </c>
    </row>
    <row r="175" spans="1:11" x14ac:dyDescent="0.35">
      <c r="A175" s="33">
        <v>43328</v>
      </c>
      <c r="B175" s="22" t="s">
        <v>94</v>
      </c>
      <c r="C175" s="22" t="s">
        <v>64</v>
      </c>
      <c r="D175" s="22" t="s">
        <v>87</v>
      </c>
      <c r="E175" s="22" t="s">
        <v>50</v>
      </c>
      <c r="F175" s="22" t="s">
        <v>51</v>
      </c>
      <c r="G175" s="22" t="s">
        <v>52</v>
      </c>
      <c r="H175" s="23">
        <v>99</v>
      </c>
      <c r="I175" s="24">
        <v>10</v>
      </c>
      <c r="J175" s="25">
        <f t="shared" si="0"/>
        <v>990</v>
      </c>
      <c r="K175" t="str">
        <f t="shared" si="3"/>
        <v>SI</v>
      </c>
    </row>
    <row r="176" spans="1:11" x14ac:dyDescent="0.35">
      <c r="A176" s="33">
        <v>43328</v>
      </c>
      <c r="B176" s="22" t="s">
        <v>95</v>
      </c>
      <c r="C176" s="22" t="s">
        <v>64</v>
      </c>
      <c r="D176" s="22" t="s">
        <v>87</v>
      </c>
      <c r="E176" s="22" t="s">
        <v>67</v>
      </c>
      <c r="F176" s="22" t="s">
        <v>88</v>
      </c>
      <c r="G176" s="22" t="s">
        <v>57</v>
      </c>
      <c r="H176" s="23">
        <v>75</v>
      </c>
      <c r="I176" s="24">
        <v>5</v>
      </c>
      <c r="J176" s="25">
        <f t="shared" si="0"/>
        <v>375</v>
      </c>
      <c r="K176" t="str">
        <f t="shared" si="3"/>
        <v>SI</v>
      </c>
    </row>
    <row r="177" spans="1:11" x14ac:dyDescent="0.35">
      <c r="A177" s="33">
        <v>43329</v>
      </c>
      <c r="B177" s="22" t="s">
        <v>47</v>
      </c>
      <c r="C177" s="22" t="s">
        <v>58</v>
      </c>
      <c r="D177" s="22" t="s">
        <v>49</v>
      </c>
      <c r="E177" s="22" t="s">
        <v>50</v>
      </c>
      <c r="F177" s="22" t="s">
        <v>85</v>
      </c>
      <c r="G177" s="22" t="s">
        <v>52</v>
      </c>
      <c r="H177" s="23">
        <v>2309</v>
      </c>
      <c r="I177" s="24">
        <v>10</v>
      </c>
      <c r="J177" s="25">
        <f t="shared" si="0"/>
        <v>23090</v>
      </c>
      <c r="K177" t="str">
        <f t="shared" si="3"/>
        <v>SI</v>
      </c>
    </row>
    <row r="178" spans="1:11" x14ac:dyDescent="0.35">
      <c r="A178" s="33">
        <v>43329</v>
      </c>
      <c r="B178" s="22" t="s">
        <v>47</v>
      </c>
      <c r="C178" s="22" t="s">
        <v>54</v>
      </c>
      <c r="D178" s="22" t="s">
        <v>49</v>
      </c>
      <c r="E178" s="22" t="s">
        <v>55</v>
      </c>
      <c r="F178" s="22" t="s">
        <v>65</v>
      </c>
      <c r="G178" s="22" t="s">
        <v>57</v>
      </c>
      <c r="H178" s="23">
        <v>2279</v>
      </c>
      <c r="I178" s="24">
        <v>10</v>
      </c>
      <c r="J178" s="25">
        <f t="shared" si="0"/>
        <v>22790</v>
      </c>
      <c r="K178" t="str">
        <f t="shared" si="3"/>
        <v>SI</v>
      </c>
    </row>
    <row r="179" spans="1:11" x14ac:dyDescent="0.35">
      <c r="A179" s="33">
        <v>43329</v>
      </c>
      <c r="B179" s="22" t="s">
        <v>47</v>
      </c>
      <c r="C179" s="22" t="s">
        <v>97</v>
      </c>
      <c r="D179" s="22" t="s">
        <v>49</v>
      </c>
      <c r="E179" s="22" t="s">
        <v>67</v>
      </c>
      <c r="F179" s="22" t="s">
        <v>68</v>
      </c>
      <c r="G179" s="22" t="s">
        <v>57</v>
      </c>
      <c r="H179" s="23">
        <v>2279</v>
      </c>
      <c r="I179" s="24">
        <v>10</v>
      </c>
      <c r="J179" s="25">
        <f t="shared" si="0"/>
        <v>22790</v>
      </c>
      <c r="K179" t="str">
        <f t="shared" si="3"/>
        <v>SI</v>
      </c>
    </row>
    <row r="180" spans="1:11" x14ac:dyDescent="0.35">
      <c r="A180" s="33">
        <v>43329</v>
      </c>
      <c r="B180" s="22" t="s">
        <v>61</v>
      </c>
      <c r="C180" s="22" t="s">
        <v>58</v>
      </c>
      <c r="D180" s="22" t="s">
        <v>49</v>
      </c>
      <c r="E180" s="22" t="s">
        <v>62</v>
      </c>
      <c r="F180" s="22" t="s">
        <v>63</v>
      </c>
      <c r="G180" s="22" t="s">
        <v>57</v>
      </c>
      <c r="H180" s="23">
        <v>1399</v>
      </c>
      <c r="I180" s="24">
        <v>10</v>
      </c>
      <c r="J180" s="25">
        <f t="shared" si="0"/>
        <v>13990</v>
      </c>
      <c r="K180" t="str">
        <f t="shared" si="3"/>
        <v>SI</v>
      </c>
    </row>
    <row r="181" spans="1:11" x14ac:dyDescent="0.35">
      <c r="A181" s="33">
        <v>43329</v>
      </c>
      <c r="B181" s="22" t="s">
        <v>53</v>
      </c>
      <c r="C181" s="22" t="s">
        <v>58</v>
      </c>
      <c r="D181" s="22" t="s">
        <v>49</v>
      </c>
      <c r="E181" s="22" t="s">
        <v>55</v>
      </c>
      <c r="F181" s="22" t="s">
        <v>65</v>
      </c>
      <c r="G181" s="22" t="s">
        <v>57</v>
      </c>
      <c r="H181" s="23">
        <v>1279</v>
      </c>
      <c r="I181" s="24">
        <v>24</v>
      </c>
      <c r="J181" s="25">
        <f t="shared" si="0"/>
        <v>30696</v>
      </c>
      <c r="K181" t="str">
        <f t="shared" si="3"/>
        <v>SI</v>
      </c>
    </row>
    <row r="182" spans="1:11" x14ac:dyDescent="0.35">
      <c r="A182" s="33">
        <v>43329</v>
      </c>
      <c r="B182" s="22" t="s">
        <v>61</v>
      </c>
      <c r="C182" s="22" t="s">
        <v>64</v>
      </c>
      <c r="D182" s="22" t="s">
        <v>49</v>
      </c>
      <c r="E182" s="22" t="s">
        <v>55</v>
      </c>
      <c r="F182" s="22" t="s">
        <v>84</v>
      </c>
      <c r="G182" s="22" t="s">
        <v>57</v>
      </c>
      <c r="H182" s="23">
        <v>1249</v>
      </c>
      <c r="I182" s="24">
        <v>10</v>
      </c>
      <c r="J182" s="25">
        <f t="shared" si="0"/>
        <v>12490</v>
      </c>
      <c r="K182" t="str">
        <f t="shared" si="3"/>
        <v>SI</v>
      </c>
    </row>
    <row r="183" spans="1:11" x14ac:dyDescent="0.35">
      <c r="A183" s="33">
        <v>43329</v>
      </c>
      <c r="B183" s="22" t="s">
        <v>61</v>
      </c>
      <c r="C183" s="22" t="s">
        <v>58</v>
      </c>
      <c r="D183" s="22" t="s">
        <v>49</v>
      </c>
      <c r="E183" s="22" t="s">
        <v>67</v>
      </c>
      <c r="F183" s="22" t="s">
        <v>70</v>
      </c>
      <c r="G183" s="22" t="s">
        <v>57</v>
      </c>
      <c r="H183" s="23">
        <v>1249</v>
      </c>
      <c r="I183" s="24">
        <v>36</v>
      </c>
      <c r="J183" s="25">
        <f t="shared" si="0"/>
        <v>44964</v>
      </c>
      <c r="K183" t="str">
        <f t="shared" si="3"/>
        <v>SI</v>
      </c>
    </row>
    <row r="184" spans="1:11" x14ac:dyDescent="0.35">
      <c r="A184" s="33">
        <v>43329</v>
      </c>
      <c r="B184" s="22" t="s">
        <v>61</v>
      </c>
      <c r="C184" s="22" t="s">
        <v>69</v>
      </c>
      <c r="D184" s="22" t="s">
        <v>49</v>
      </c>
      <c r="E184" s="22" t="s">
        <v>67</v>
      </c>
      <c r="F184" s="22" t="s">
        <v>68</v>
      </c>
      <c r="G184" s="22" t="s">
        <v>52</v>
      </c>
      <c r="H184" s="23">
        <v>1249</v>
      </c>
      <c r="I184" s="24">
        <v>7</v>
      </c>
      <c r="J184" s="25">
        <f t="shared" si="0"/>
        <v>8743</v>
      </c>
      <c r="K184" t="str">
        <f t="shared" si="3"/>
        <v>SI</v>
      </c>
    </row>
    <row r="185" spans="1:11" x14ac:dyDescent="0.35">
      <c r="A185" s="33">
        <v>43329</v>
      </c>
      <c r="B185" s="22" t="s">
        <v>61</v>
      </c>
      <c r="C185" s="22" t="s">
        <v>97</v>
      </c>
      <c r="D185" s="22" t="s">
        <v>49</v>
      </c>
      <c r="E185" s="22" t="s">
        <v>72</v>
      </c>
      <c r="F185" s="22" t="s">
        <v>75</v>
      </c>
      <c r="G185" s="22" t="s">
        <v>57</v>
      </c>
      <c r="H185" s="23">
        <v>1249</v>
      </c>
      <c r="I185" s="24">
        <v>45</v>
      </c>
      <c r="J185" s="25">
        <f t="shared" si="0"/>
        <v>56205</v>
      </c>
      <c r="K185" t="str">
        <f t="shared" si="3"/>
        <v>SI</v>
      </c>
    </row>
    <row r="186" spans="1:11" x14ac:dyDescent="0.35">
      <c r="A186" s="33">
        <v>43329</v>
      </c>
      <c r="B186" s="22" t="s">
        <v>74</v>
      </c>
      <c r="C186" s="22" t="s">
        <v>64</v>
      </c>
      <c r="D186" s="22" t="s">
        <v>49</v>
      </c>
      <c r="E186" s="22" t="s">
        <v>50</v>
      </c>
      <c r="F186" s="22" t="s">
        <v>85</v>
      </c>
      <c r="G186" s="22" t="s">
        <v>57</v>
      </c>
      <c r="H186" s="23">
        <v>1169</v>
      </c>
      <c r="I186" s="24">
        <v>6</v>
      </c>
      <c r="J186" s="25">
        <f t="shared" si="0"/>
        <v>7014</v>
      </c>
      <c r="K186" t="str">
        <f t="shared" si="3"/>
        <v>SI</v>
      </c>
    </row>
    <row r="187" spans="1:11" x14ac:dyDescent="0.35">
      <c r="A187" s="33">
        <v>43329</v>
      </c>
      <c r="B187" s="22" t="s">
        <v>98</v>
      </c>
      <c r="C187" s="22" t="s">
        <v>106</v>
      </c>
      <c r="D187" s="22" t="s">
        <v>49</v>
      </c>
      <c r="E187" s="22" t="s">
        <v>55</v>
      </c>
      <c r="F187" s="22" t="s">
        <v>84</v>
      </c>
      <c r="G187" s="22" t="s">
        <v>52</v>
      </c>
      <c r="H187" s="23">
        <v>1159</v>
      </c>
      <c r="I187" s="24">
        <v>24</v>
      </c>
      <c r="J187" s="25">
        <f t="shared" si="0"/>
        <v>27816</v>
      </c>
      <c r="K187" t="str">
        <f t="shared" si="3"/>
        <v>SI</v>
      </c>
    </row>
    <row r="188" spans="1:11" x14ac:dyDescent="0.35">
      <c r="A188" s="33">
        <v>43329</v>
      </c>
      <c r="B188" s="22" t="s">
        <v>98</v>
      </c>
      <c r="C188" s="22" t="s">
        <v>54</v>
      </c>
      <c r="D188" s="22" t="s">
        <v>49</v>
      </c>
      <c r="E188" s="22" t="s">
        <v>67</v>
      </c>
      <c r="F188" s="22" t="s">
        <v>70</v>
      </c>
      <c r="G188" s="22" t="s">
        <v>52</v>
      </c>
      <c r="H188" s="23">
        <v>1159</v>
      </c>
      <c r="I188" s="24">
        <v>30</v>
      </c>
      <c r="J188" s="25">
        <f t="shared" si="0"/>
        <v>34770</v>
      </c>
      <c r="K188" t="str">
        <f t="shared" si="3"/>
        <v>SI</v>
      </c>
    </row>
    <row r="189" spans="1:11" x14ac:dyDescent="0.35">
      <c r="A189" s="33">
        <v>43329</v>
      </c>
      <c r="B189" s="22" t="s">
        <v>98</v>
      </c>
      <c r="C189" s="22" t="s">
        <v>54</v>
      </c>
      <c r="D189" s="22" t="s">
        <v>49</v>
      </c>
      <c r="E189" s="22" t="s">
        <v>50</v>
      </c>
      <c r="F189" s="22" t="s">
        <v>51</v>
      </c>
      <c r="G189" s="22" t="s">
        <v>52</v>
      </c>
      <c r="H189" s="23">
        <v>1159</v>
      </c>
      <c r="I189" s="24">
        <v>45</v>
      </c>
      <c r="J189" s="25">
        <f t="shared" si="0"/>
        <v>52155</v>
      </c>
      <c r="K189" t="str">
        <f t="shared" si="3"/>
        <v>SI</v>
      </c>
    </row>
    <row r="190" spans="1:11" x14ac:dyDescent="0.35">
      <c r="A190" s="33">
        <v>43329</v>
      </c>
      <c r="B190" s="22" t="s">
        <v>66</v>
      </c>
      <c r="C190" s="22" t="s">
        <v>64</v>
      </c>
      <c r="D190" s="22" t="s">
        <v>49</v>
      </c>
      <c r="E190" s="22" t="s">
        <v>67</v>
      </c>
      <c r="F190" s="22" t="s">
        <v>70</v>
      </c>
      <c r="G190" s="22" t="s">
        <v>57</v>
      </c>
      <c r="H190" s="23">
        <v>1069</v>
      </c>
      <c r="I190" s="24">
        <v>36</v>
      </c>
      <c r="J190" s="25">
        <f t="shared" si="0"/>
        <v>38484</v>
      </c>
      <c r="K190" t="str">
        <f t="shared" si="3"/>
        <v>SI</v>
      </c>
    </row>
    <row r="191" spans="1:11" x14ac:dyDescent="0.35">
      <c r="A191" s="33">
        <v>43329</v>
      </c>
      <c r="B191" s="22" t="s">
        <v>66</v>
      </c>
      <c r="C191" s="22" t="s">
        <v>48</v>
      </c>
      <c r="D191" s="22" t="s">
        <v>49</v>
      </c>
      <c r="E191" s="22" t="s">
        <v>67</v>
      </c>
      <c r="F191" s="22" t="s">
        <v>68</v>
      </c>
      <c r="G191" s="22" t="s">
        <v>57</v>
      </c>
      <c r="H191" s="23">
        <v>1069</v>
      </c>
      <c r="I191" s="24">
        <v>10</v>
      </c>
      <c r="J191" s="25">
        <f t="shared" si="0"/>
        <v>10690</v>
      </c>
      <c r="K191" t="str">
        <f t="shared" si="3"/>
        <v>SI</v>
      </c>
    </row>
    <row r="192" spans="1:11" x14ac:dyDescent="0.35">
      <c r="A192" s="33">
        <v>43329</v>
      </c>
      <c r="B192" s="22" t="s">
        <v>66</v>
      </c>
      <c r="C192" s="22" t="s">
        <v>48</v>
      </c>
      <c r="D192" s="22" t="s">
        <v>49</v>
      </c>
      <c r="E192" s="22" t="s">
        <v>62</v>
      </c>
      <c r="F192" s="22" t="s">
        <v>63</v>
      </c>
      <c r="G192" s="22" t="s">
        <v>52</v>
      </c>
      <c r="H192" s="23">
        <v>1069</v>
      </c>
      <c r="I192" s="24">
        <v>30</v>
      </c>
      <c r="J192" s="25">
        <f t="shared" si="0"/>
        <v>32070</v>
      </c>
      <c r="K192" t="str">
        <f t="shared" si="3"/>
        <v>SI</v>
      </c>
    </row>
    <row r="193" spans="1:11" x14ac:dyDescent="0.35">
      <c r="A193" s="33">
        <v>43329</v>
      </c>
      <c r="B193" s="22" t="s">
        <v>76</v>
      </c>
      <c r="C193" s="22" t="s">
        <v>58</v>
      </c>
      <c r="D193" s="22" t="s">
        <v>77</v>
      </c>
      <c r="E193" s="22" t="s">
        <v>50</v>
      </c>
      <c r="F193" s="22" t="s">
        <v>81</v>
      </c>
      <c r="G193" s="22" t="s">
        <v>52</v>
      </c>
      <c r="H193" s="23">
        <v>1050</v>
      </c>
      <c r="I193" s="24">
        <v>10</v>
      </c>
      <c r="J193" s="25">
        <f t="shared" si="0"/>
        <v>10500</v>
      </c>
      <c r="K193" t="str">
        <f t="shared" si="3"/>
        <v>SI</v>
      </c>
    </row>
    <row r="194" spans="1:11" x14ac:dyDescent="0.35">
      <c r="A194" s="33">
        <v>43329</v>
      </c>
      <c r="B194" s="22" t="s">
        <v>76</v>
      </c>
      <c r="C194" s="22" t="s">
        <v>58</v>
      </c>
      <c r="D194" s="22" t="s">
        <v>77</v>
      </c>
      <c r="E194" s="22" t="s">
        <v>72</v>
      </c>
      <c r="F194" s="22" t="s">
        <v>83</v>
      </c>
      <c r="G194" s="22" t="s">
        <v>52</v>
      </c>
      <c r="H194" s="23">
        <v>1050</v>
      </c>
      <c r="I194" s="24">
        <v>15</v>
      </c>
      <c r="J194" s="25">
        <f t="shared" si="0"/>
        <v>15750</v>
      </c>
      <c r="K194" t="str">
        <f t="shared" si="3"/>
        <v>SI</v>
      </c>
    </row>
    <row r="195" spans="1:11" x14ac:dyDescent="0.35">
      <c r="A195" s="33">
        <v>43329</v>
      </c>
      <c r="B195" s="22" t="s">
        <v>102</v>
      </c>
      <c r="C195" s="22" t="s">
        <v>58</v>
      </c>
      <c r="D195" s="22" t="s">
        <v>49</v>
      </c>
      <c r="E195" s="22" t="s">
        <v>55</v>
      </c>
      <c r="F195" s="22" t="s">
        <v>56</v>
      </c>
      <c r="G195" s="22" t="s">
        <v>52</v>
      </c>
      <c r="H195" s="23">
        <v>1049</v>
      </c>
      <c r="I195" s="24">
        <v>7</v>
      </c>
      <c r="J195" s="25">
        <f t="shared" si="0"/>
        <v>7343</v>
      </c>
      <c r="K195" t="str">
        <f t="shared" ref="K195:K258" si="4">IF(H195*I195=J195,"SI","Error")</f>
        <v>SI</v>
      </c>
    </row>
    <row r="196" spans="1:11" x14ac:dyDescent="0.35">
      <c r="A196" s="33">
        <v>43329</v>
      </c>
      <c r="B196" s="22" t="s">
        <v>102</v>
      </c>
      <c r="C196" s="22" t="s">
        <v>58</v>
      </c>
      <c r="D196" s="22" t="s">
        <v>49</v>
      </c>
      <c r="E196" s="22" t="s">
        <v>50</v>
      </c>
      <c r="F196" s="22" t="s">
        <v>51</v>
      </c>
      <c r="G196" s="22" t="s">
        <v>57</v>
      </c>
      <c r="H196" s="23">
        <v>1049</v>
      </c>
      <c r="I196" s="24">
        <v>5</v>
      </c>
      <c r="J196" s="25">
        <f t="shared" si="0"/>
        <v>5245</v>
      </c>
      <c r="K196" t="str">
        <f t="shared" si="4"/>
        <v>SI</v>
      </c>
    </row>
    <row r="197" spans="1:11" x14ac:dyDescent="0.35">
      <c r="A197" s="33">
        <v>43329</v>
      </c>
      <c r="B197" s="22" t="s">
        <v>76</v>
      </c>
      <c r="C197" s="22" t="s">
        <v>58</v>
      </c>
      <c r="D197" s="22" t="s">
        <v>77</v>
      </c>
      <c r="E197" s="22" t="s">
        <v>50</v>
      </c>
      <c r="F197" s="22" t="s">
        <v>85</v>
      </c>
      <c r="G197" s="22" t="s">
        <v>57</v>
      </c>
      <c r="H197" s="23">
        <v>1004</v>
      </c>
      <c r="I197" s="24">
        <v>5</v>
      </c>
      <c r="J197" s="25">
        <f t="shared" si="0"/>
        <v>5020</v>
      </c>
      <c r="K197" t="str">
        <f t="shared" si="4"/>
        <v>SI</v>
      </c>
    </row>
    <row r="198" spans="1:11" x14ac:dyDescent="0.35">
      <c r="A198" s="33">
        <v>43329</v>
      </c>
      <c r="B198" s="22" t="s">
        <v>80</v>
      </c>
      <c r="C198" s="22" t="s">
        <v>58</v>
      </c>
      <c r="D198" s="22" t="s">
        <v>77</v>
      </c>
      <c r="E198" s="22" t="s">
        <v>50</v>
      </c>
      <c r="F198" s="22" t="s">
        <v>51</v>
      </c>
      <c r="G198" s="22" t="s">
        <v>52</v>
      </c>
      <c r="H198" s="23">
        <v>999</v>
      </c>
      <c r="I198" s="24">
        <v>7</v>
      </c>
      <c r="J198" s="25">
        <f t="shared" si="0"/>
        <v>6993</v>
      </c>
      <c r="K198" t="str">
        <f t="shared" si="4"/>
        <v>SI</v>
      </c>
    </row>
    <row r="199" spans="1:11" x14ac:dyDescent="0.35">
      <c r="A199" s="33">
        <v>43329</v>
      </c>
      <c r="B199" s="22" t="s">
        <v>76</v>
      </c>
      <c r="C199" s="22" t="s">
        <v>64</v>
      </c>
      <c r="D199" s="22" t="s">
        <v>77</v>
      </c>
      <c r="E199" s="22" t="s">
        <v>72</v>
      </c>
      <c r="F199" s="22" t="s">
        <v>75</v>
      </c>
      <c r="G199" s="22" t="s">
        <v>57</v>
      </c>
      <c r="H199" s="23">
        <v>999</v>
      </c>
      <c r="I199" s="24">
        <v>8</v>
      </c>
      <c r="J199" s="25">
        <f t="shared" si="0"/>
        <v>7992</v>
      </c>
      <c r="K199" t="str">
        <f t="shared" si="4"/>
        <v>SI</v>
      </c>
    </row>
    <row r="200" spans="1:11" x14ac:dyDescent="0.35">
      <c r="A200" s="33">
        <v>43329</v>
      </c>
      <c r="B200" s="22" t="s">
        <v>102</v>
      </c>
      <c r="C200" s="22" t="s">
        <v>64</v>
      </c>
      <c r="D200" s="22" t="s">
        <v>49</v>
      </c>
      <c r="E200" s="22" t="s">
        <v>55</v>
      </c>
      <c r="F200" s="22" t="s">
        <v>84</v>
      </c>
      <c r="G200" s="22" t="s">
        <v>52</v>
      </c>
      <c r="H200" s="23">
        <v>849</v>
      </c>
      <c r="I200" s="24">
        <v>45</v>
      </c>
      <c r="J200" s="25">
        <f t="shared" si="0"/>
        <v>38205</v>
      </c>
      <c r="K200" t="str">
        <f t="shared" si="4"/>
        <v>SI</v>
      </c>
    </row>
    <row r="201" spans="1:11" x14ac:dyDescent="0.35">
      <c r="A201" s="33">
        <v>43329</v>
      </c>
      <c r="B201" s="22" t="s">
        <v>102</v>
      </c>
      <c r="C201" s="22" t="s">
        <v>54</v>
      </c>
      <c r="D201" s="22" t="s">
        <v>49</v>
      </c>
      <c r="E201" s="22" t="s">
        <v>67</v>
      </c>
      <c r="F201" s="22" t="s">
        <v>70</v>
      </c>
      <c r="G201" s="22" t="s">
        <v>52</v>
      </c>
      <c r="H201" s="23">
        <v>849</v>
      </c>
      <c r="I201" s="24">
        <v>30</v>
      </c>
      <c r="J201" s="25">
        <f t="shared" si="0"/>
        <v>25470</v>
      </c>
      <c r="K201" t="str">
        <f t="shared" si="4"/>
        <v>SI</v>
      </c>
    </row>
    <row r="202" spans="1:11" x14ac:dyDescent="0.35">
      <c r="A202" s="33">
        <v>43329</v>
      </c>
      <c r="B202" s="22" t="s">
        <v>102</v>
      </c>
      <c r="C202" s="22" t="s">
        <v>71</v>
      </c>
      <c r="D202" s="22" t="s">
        <v>49</v>
      </c>
      <c r="E202" s="22" t="s">
        <v>67</v>
      </c>
      <c r="F202" s="22" t="s">
        <v>70</v>
      </c>
      <c r="G202" s="22" t="s">
        <v>52</v>
      </c>
      <c r="H202" s="23">
        <v>849</v>
      </c>
      <c r="I202" s="24">
        <v>10</v>
      </c>
      <c r="J202" s="25">
        <f t="shared" si="0"/>
        <v>8490</v>
      </c>
      <c r="K202" t="str">
        <f t="shared" si="4"/>
        <v>SI</v>
      </c>
    </row>
    <row r="203" spans="1:11" x14ac:dyDescent="0.35">
      <c r="A203" s="33">
        <v>43329</v>
      </c>
      <c r="B203" s="22" t="s">
        <v>61</v>
      </c>
      <c r="C203" s="22" t="s">
        <v>54</v>
      </c>
      <c r="D203" s="22" t="s">
        <v>49</v>
      </c>
      <c r="E203" s="22" t="s">
        <v>59</v>
      </c>
      <c r="F203" s="22" t="s">
        <v>99</v>
      </c>
      <c r="G203" s="22" t="s">
        <v>52</v>
      </c>
      <c r="H203" s="23">
        <v>699</v>
      </c>
      <c r="I203" s="24">
        <v>10</v>
      </c>
      <c r="J203" s="25">
        <f t="shared" si="0"/>
        <v>6990</v>
      </c>
      <c r="K203" t="str">
        <f t="shared" si="4"/>
        <v>SI</v>
      </c>
    </row>
    <row r="204" spans="1:11" x14ac:dyDescent="0.35">
      <c r="A204" s="33">
        <v>43329</v>
      </c>
      <c r="B204" s="22" t="s">
        <v>61</v>
      </c>
      <c r="C204" s="22" t="s">
        <v>97</v>
      </c>
      <c r="D204" s="22" t="s">
        <v>49</v>
      </c>
      <c r="E204" s="22" t="s">
        <v>72</v>
      </c>
      <c r="F204" s="22" t="s">
        <v>73</v>
      </c>
      <c r="G204" s="22" t="s">
        <v>52</v>
      </c>
      <c r="H204" s="23">
        <v>699</v>
      </c>
      <c r="I204" s="24">
        <v>6</v>
      </c>
      <c r="J204" s="25">
        <f t="shared" si="0"/>
        <v>4194</v>
      </c>
      <c r="K204" t="str">
        <f t="shared" si="4"/>
        <v>SI</v>
      </c>
    </row>
    <row r="205" spans="1:11" x14ac:dyDescent="0.35">
      <c r="A205" s="33">
        <v>43329</v>
      </c>
      <c r="B205" s="22" t="s">
        <v>82</v>
      </c>
      <c r="C205" s="22" t="s">
        <v>64</v>
      </c>
      <c r="D205" s="22" t="s">
        <v>77</v>
      </c>
      <c r="E205" s="22" t="s">
        <v>50</v>
      </c>
      <c r="F205" s="22" t="s">
        <v>85</v>
      </c>
      <c r="G205" s="22" t="s">
        <v>57</v>
      </c>
      <c r="H205" s="23">
        <v>319</v>
      </c>
      <c r="I205" s="24">
        <v>35</v>
      </c>
      <c r="J205" s="25">
        <f t="shared" si="0"/>
        <v>11165</v>
      </c>
      <c r="K205" t="str">
        <f t="shared" si="4"/>
        <v>SI</v>
      </c>
    </row>
    <row r="206" spans="1:11" x14ac:dyDescent="0.35">
      <c r="A206" s="33">
        <v>43329</v>
      </c>
      <c r="B206" s="22" t="s">
        <v>82</v>
      </c>
      <c r="C206" s="22" t="s">
        <v>58</v>
      </c>
      <c r="D206" s="22" t="s">
        <v>77</v>
      </c>
      <c r="E206" s="22" t="s">
        <v>62</v>
      </c>
      <c r="F206" s="22" t="s">
        <v>63</v>
      </c>
      <c r="G206" s="22" t="s">
        <v>57</v>
      </c>
      <c r="H206" s="23">
        <v>249</v>
      </c>
      <c r="I206" s="24">
        <v>10</v>
      </c>
      <c r="J206" s="25">
        <f t="shared" si="0"/>
        <v>2490</v>
      </c>
      <c r="K206" t="str">
        <f t="shared" si="4"/>
        <v>SI</v>
      </c>
    </row>
    <row r="207" spans="1:11" x14ac:dyDescent="0.35">
      <c r="A207" s="33">
        <v>43329</v>
      </c>
      <c r="B207" s="22" t="s">
        <v>82</v>
      </c>
      <c r="C207" s="22" t="s">
        <v>64</v>
      </c>
      <c r="D207" s="22" t="s">
        <v>77</v>
      </c>
      <c r="E207" s="22" t="s">
        <v>72</v>
      </c>
      <c r="F207" s="22" t="s">
        <v>75</v>
      </c>
      <c r="G207" s="22" t="s">
        <v>52</v>
      </c>
      <c r="H207" s="23">
        <v>249</v>
      </c>
      <c r="I207" s="24">
        <v>10</v>
      </c>
      <c r="J207" s="25">
        <f t="shared" si="0"/>
        <v>2490</v>
      </c>
      <c r="K207" t="str">
        <f t="shared" si="4"/>
        <v>SI</v>
      </c>
    </row>
    <row r="208" spans="1:11" x14ac:dyDescent="0.35">
      <c r="A208" s="33">
        <v>43329</v>
      </c>
      <c r="B208" s="22" t="s">
        <v>82</v>
      </c>
      <c r="C208" s="22" t="s">
        <v>64</v>
      </c>
      <c r="D208" s="22" t="s">
        <v>77</v>
      </c>
      <c r="E208" s="22" t="s">
        <v>72</v>
      </c>
      <c r="F208" s="22" t="s">
        <v>83</v>
      </c>
      <c r="G208" s="22" t="s">
        <v>52</v>
      </c>
      <c r="H208" s="23">
        <v>249</v>
      </c>
      <c r="I208" s="24">
        <v>10</v>
      </c>
      <c r="J208" s="25">
        <f t="shared" si="0"/>
        <v>2490</v>
      </c>
      <c r="K208" t="str">
        <f t="shared" si="4"/>
        <v>SI</v>
      </c>
    </row>
    <row r="209" spans="1:11" x14ac:dyDescent="0.35">
      <c r="A209" s="33">
        <v>43329</v>
      </c>
      <c r="B209" s="22" t="s">
        <v>82</v>
      </c>
      <c r="C209" s="22" t="s">
        <v>54</v>
      </c>
      <c r="D209" s="22" t="s">
        <v>77</v>
      </c>
      <c r="E209" s="22" t="s">
        <v>72</v>
      </c>
      <c r="F209" s="22" t="s">
        <v>73</v>
      </c>
      <c r="G209" s="22" t="s">
        <v>57</v>
      </c>
      <c r="H209" s="23">
        <v>229</v>
      </c>
      <c r="I209" s="24">
        <v>36</v>
      </c>
      <c r="J209" s="25">
        <f t="shared" si="0"/>
        <v>8244</v>
      </c>
      <c r="K209" t="str">
        <f t="shared" si="4"/>
        <v>SI</v>
      </c>
    </row>
    <row r="210" spans="1:11" x14ac:dyDescent="0.35">
      <c r="A210" s="33">
        <v>43329</v>
      </c>
      <c r="B210" s="22" t="s">
        <v>91</v>
      </c>
      <c r="C210" s="22" t="s">
        <v>64</v>
      </c>
      <c r="D210" s="22" t="s">
        <v>92</v>
      </c>
      <c r="E210" s="22" t="s">
        <v>55</v>
      </c>
      <c r="F210" s="22" t="s">
        <v>84</v>
      </c>
      <c r="G210" s="22" t="s">
        <v>57</v>
      </c>
      <c r="H210" s="23">
        <v>139</v>
      </c>
      <c r="I210" s="24">
        <v>30</v>
      </c>
      <c r="J210" s="25">
        <f t="shared" si="0"/>
        <v>4170</v>
      </c>
      <c r="K210" t="str">
        <f t="shared" si="4"/>
        <v>SI</v>
      </c>
    </row>
    <row r="211" spans="1:11" x14ac:dyDescent="0.35">
      <c r="A211" s="33">
        <v>43329</v>
      </c>
      <c r="B211" s="22" t="s">
        <v>91</v>
      </c>
      <c r="C211" s="22" t="s">
        <v>58</v>
      </c>
      <c r="D211" s="22" t="s">
        <v>92</v>
      </c>
      <c r="E211" s="22" t="s">
        <v>55</v>
      </c>
      <c r="F211" s="22" t="s">
        <v>84</v>
      </c>
      <c r="G211" s="22" t="s">
        <v>57</v>
      </c>
      <c r="H211" s="23">
        <v>139</v>
      </c>
      <c r="I211" s="24">
        <v>30</v>
      </c>
      <c r="J211" s="25">
        <f t="shared" si="0"/>
        <v>4170</v>
      </c>
      <c r="K211" t="str">
        <f t="shared" si="4"/>
        <v>SI</v>
      </c>
    </row>
    <row r="212" spans="1:11" x14ac:dyDescent="0.35">
      <c r="A212" s="33">
        <v>43329</v>
      </c>
      <c r="B212" s="22" t="s">
        <v>91</v>
      </c>
      <c r="C212" s="22" t="s">
        <v>64</v>
      </c>
      <c r="D212" s="22" t="s">
        <v>92</v>
      </c>
      <c r="E212" s="22" t="s">
        <v>62</v>
      </c>
      <c r="F212" s="22" t="s">
        <v>79</v>
      </c>
      <c r="G212" s="22" t="s">
        <v>57</v>
      </c>
      <c r="H212" s="23">
        <v>139</v>
      </c>
      <c r="I212" s="24">
        <v>10</v>
      </c>
      <c r="J212" s="25">
        <f t="shared" si="0"/>
        <v>1390</v>
      </c>
      <c r="K212" t="str">
        <f t="shared" si="4"/>
        <v>SI</v>
      </c>
    </row>
    <row r="213" spans="1:11" x14ac:dyDescent="0.35">
      <c r="A213" s="33">
        <v>43329</v>
      </c>
      <c r="B213" s="22" t="s">
        <v>91</v>
      </c>
      <c r="C213" s="22" t="s">
        <v>64</v>
      </c>
      <c r="D213" s="22" t="s">
        <v>92</v>
      </c>
      <c r="E213" s="22" t="s">
        <v>62</v>
      </c>
      <c r="F213" s="22" t="s">
        <v>63</v>
      </c>
      <c r="G213" s="22" t="s">
        <v>57</v>
      </c>
      <c r="H213" s="23">
        <v>139</v>
      </c>
      <c r="I213" s="24">
        <v>35</v>
      </c>
      <c r="J213" s="25">
        <f t="shared" si="0"/>
        <v>4865</v>
      </c>
      <c r="K213" t="str">
        <f t="shared" si="4"/>
        <v>SI</v>
      </c>
    </row>
    <row r="214" spans="1:11" x14ac:dyDescent="0.35">
      <c r="A214" s="33">
        <v>43329</v>
      </c>
      <c r="B214" s="22" t="s">
        <v>91</v>
      </c>
      <c r="C214" s="22" t="s">
        <v>58</v>
      </c>
      <c r="D214" s="22" t="s">
        <v>92</v>
      </c>
      <c r="E214" s="22" t="s">
        <v>59</v>
      </c>
      <c r="F214" s="22" t="s">
        <v>60</v>
      </c>
      <c r="G214" s="22" t="s">
        <v>52</v>
      </c>
      <c r="H214" s="23">
        <v>139</v>
      </c>
      <c r="I214" s="24">
        <v>40</v>
      </c>
      <c r="J214" s="25">
        <f t="shared" si="0"/>
        <v>5560</v>
      </c>
      <c r="K214" t="str">
        <f t="shared" si="4"/>
        <v>SI</v>
      </c>
    </row>
    <row r="215" spans="1:11" x14ac:dyDescent="0.35">
      <c r="A215" s="33">
        <v>43329</v>
      </c>
      <c r="B215" s="22" t="s">
        <v>95</v>
      </c>
      <c r="C215" s="22" t="s">
        <v>54</v>
      </c>
      <c r="D215" s="22" t="s">
        <v>87</v>
      </c>
      <c r="E215" s="22" t="s">
        <v>72</v>
      </c>
      <c r="F215" s="22" t="s">
        <v>75</v>
      </c>
      <c r="G215" s="22" t="s">
        <v>52</v>
      </c>
      <c r="H215" s="23">
        <v>99</v>
      </c>
      <c r="I215" s="24">
        <v>25</v>
      </c>
      <c r="J215" s="25">
        <f t="shared" si="0"/>
        <v>2475</v>
      </c>
      <c r="K215" t="str">
        <f t="shared" si="4"/>
        <v>SI</v>
      </c>
    </row>
    <row r="216" spans="1:11" x14ac:dyDescent="0.35">
      <c r="A216" s="33">
        <v>43329</v>
      </c>
      <c r="B216" s="22" t="s">
        <v>110</v>
      </c>
      <c r="C216" s="22" t="s">
        <v>58</v>
      </c>
      <c r="D216" s="22" t="s">
        <v>92</v>
      </c>
      <c r="E216" s="22" t="s">
        <v>55</v>
      </c>
      <c r="F216" s="22" t="s">
        <v>65</v>
      </c>
      <c r="G216" s="22" t="s">
        <v>57</v>
      </c>
      <c r="H216" s="23">
        <v>89</v>
      </c>
      <c r="I216" s="24">
        <v>4</v>
      </c>
      <c r="J216" s="25">
        <f t="shared" si="0"/>
        <v>356</v>
      </c>
      <c r="K216" t="str">
        <f t="shared" si="4"/>
        <v>SI</v>
      </c>
    </row>
    <row r="217" spans="1:11" x14ac:dyDescent="0.35">
      <c r="A217" s="33">
        <v>43329</v>
      </c>
      <c r="B217" s="22" t="s">
        <v>95</v>
      </c>
      <c r="C217" s="22" t="s">
        <v>48</v>
      </c>
      <c r="D217" s="22" t="s">
        <v>87</v>
      </c>
      <c r="E217" s="22" t="s">
        <v>67</v>
      </c>
      <c r="F217" s="22" t="s">
        <v>88</v>
      </c>
      <c r="G217" s="22" t="s">
        <v>52</v>
      </c>
      <c r="H217" s="23">
        <v>75</v>
      </c>
      <c r="I217" s="24">
        <v>40</v>
      </c>
      <c r="J217" s="25">
        <f t="shared" si="0"/>
        <v>3000</v>
      </c>
      <c r="K217" t="str">
        <f t="shared" si="4"/>
        <v>SI</v>
      </c>
    </row>
    <row r="218" spans="1:11" x14ac:dyDescent="0.35">
      <c r="A218" s="33">
        <v>43329</v>
      </c>
      <c r="B218" s="22" t="s">
        <v>105</v>
      </c>
      <c r="C218" s="22" t="s">
        <v>97</v>
      </c>
      <c r="D218" s="22" t="s">
        <v>92</v>
      </c>
      <c r="E218" s="22" t="s">
        <v>72</v>
      </c>
      <c r="F218" s="22" t="s">
        <v>75</v>
      </c>
      <c r="G218" s="22" t="s">
        <v>57</v>
      </c>
      <c r="H218" s="23">
        <v>39</v>
      </c>
      <c r="I218" s="24">
        <v>7</v>
      </c>
      <c r="J218" s="25">
        <f t="shared" si="0"/>
        <v>273</v>
      </c>
      <c r="K218" t="str">
        <f t="shared" si="4"/>
        <v>SI</v>
      </c>
    </row>
    <row r="219" spans="1:11" x14ac:dyDescent="0.35">
      <c r="A219" s="33">
        <v>43329</v>
      </c>
      <c r="B219" s="22" t="s">
        <v>111</v>
      </c>
      <c r="C219" s="22" t="s">
        <v>54</v>
      </c>
      <c r="D219" s="22" t="s">
        <v>92</v>
      </c>
      <c r="E219" s="22" t="s">
        <v>59</v>
      </c>
      <c r="F219" s="22" t="s">
        <v>99</v>
      </c>
      <c r="G219" s="22" t="s">
        <v>57</v>
      </c>
      <c r="H219" s="23">
        <v>29</v>
      </c>
      <c r="I219" s="24">
        <v>10</v>
      </c>
      <c r="J219" s="25">
        <f t="shared" si="0"/>
        <v>290</v>
      </c>
      <c r="K219" t="str">
        <f t="shared" si="4"/>
        <v>SI</v>
      </c>
    </row>
    <row r="220" spans="1:11" x14ac:dyDescent="0.35">
      <c r="A220" s="33">
        <v>43330</v>
      </c>
      <c r="B220" s="22" t="s">
        <v>47</v>
      </c>
      <c r="C220" s="22" t="s">
        <v>71</v>
      </c>
      <c r="D220" s="22" t="s">
        <v>49</v>
      </c>
      <c r="E220" s="22" t="s">
        <v>59</v>
      </c>
      <c r="F220" s="22" t="s">
        <v>78</v>
      </c>
      <c r="G220" s="22" t="s">
        <v>52</v>
      </c>
      <c r="H220" s="23">
        <v>2309</v>
      </c>
      <c r="I220" s="24">
        <v>30</v>
      </c>
      <c r="J220" s="25">
        <f t="shared" si="0"/>
        <v>69270</v>
      </c>
      <c r="K220" t="str">
        <f t="shared" si="4"/>
        <v>SI</v>
      </c>
    </row>
    <row r="221" spans="1:11" x14ac:dyDescent="0.35">
      <c r="A221" s="33">
        <v>43330</v>
      </c>
      <c r="B221" s="22" t="s">
        <v>47</v>
      </c>
      <c r="C221" s="22" t="s">
        <v>58</v>
      </c>
      <c r="D221" s="22" t="s">
        <v>49</v>
      </c>
      <c r="E221" s="22" t="s">
        <v>59</v>
      </c>
      <c r="F221" s="22" t="s">
        <v>60</v>
      </c>
      <c r="G221" s="22" t="s">
        <v>57</v>
      </c>
      <c r="H221" s="23">
        <v>2279</v>
      </c>
      <c r="I221" s="24">
        <v>25</v>
      </c>
      <c r="J221" s="25">
        <f t="shared" si="0"/>
        <v>56975</v>
      </c>
      <c r="K221" t="str">
        <f t="shared" si="4"/>
        <v>SI</v>
      </c>
    </row>
    <row r="222" spans="1:11" x14ac:dyDescent="0.35">
      <c r="A222" s="33">
        <v>43330</v>
      </c>
      <c r="B222" s="22" t="s">
        <v>47</v>
      </c>
      <c r="C222" s="22" t="s">
        <v>93</v>
      </c>
      <c r="D222" s="22" t="s">
        <v>49</v>
      </c>
      <c r="E222" s="22" t="s">
        <v>59</v>
      </c>
      <c r="F222" s="22" t="s">
        <v>60</v>
      </c>
      <c r="G222" s="22" t="s">
        <v>52</v>
      </c>
      <c r="H222" s="23">
        <v>1599</v>
      </c>
      <c r="I222" s="24">
        <v>5</v>
      </c>
      <c r="J222" s="25">
        <f t="shared" si="0"/>
        <v>7995</v>
      </c>
      <c r="K222" t="str">
        <f t="shared" si="4"/>
        <v>SI</v>
      </c>
    </row>
    <row r="223" spans="1:11" x14ac:dyDescent="0.35">
      <c r="A223" s="33">
        <v>43330</v>
      </c>
      <c r="B223" s="22" t="s">
        <v>53</v>
      </c>
      <c r="C223" s="22" t="s">
        <v>64</v>
      </c>
      <c r="D223" s="22" t="s">
        <v>49</v>
      </c>
      <c r="E223" s="22" t="s">
        <v>67</v>
      </c>
      <c r="F223" s="22" t="s">
        <v>88</v>
      </c>
      <c r="G223" s="22" t="s">
        <v>52</v>
      </c>
      <c r="H223" s="23">
        <v>1579</v>
      </c>
      <c r="I223" s="24">
        <v>7</v>
      </c>
      <c r="J223" s="25">
        <f t="shared" si="0"/>
        <v>11053</v>
      </c>
      <c r="K223" t="str">
        <f t="shared" si="4"/>
        <v>SI</v>
      </c>
    </row>
    <row r="224" spans="1:11" x14ac:dyDescent="0.35">
      <c r="A224" s="33">
        <v>43330</v>
      </c>
      <c r="B224" s="22" t="s">
        <v>53</v>
      </c>
      <c r="C224" s="22" t="s">
        <v>101</v>
      </c>
      <c r="D224" s="22" t="s">
        <v>49</v>
      </c>
      <c r="E224" s="22" t="s">
        <v>62</v>
      </c>
      <c r="F224" s="22" t="s">
        <v>63</v>
      </c>
      <c r="G224" s="22" t="s">
        <v>57</v>
      </c>
      <c r="H224" s="23">
        <v>1579</v>
      </c>
      <c r="I224" s="24">
        <v>6</v>
      </c>
      <c r="J224" s="25">
        <f t="shared" si="0"/>
        <v>9474</v>
      </c>
      <c r="K224" t="str">
        <f t="shared" si="4"/>
        <v>SI</v>
      </c>
    </row>
    <row r="225" spans="1:11" x14ac:dyDescent="0.35">
      <c r="A225" s="33">
        <v>43330</v>
      </c>
      <c r="B225" s="22" t="s">
        <v>61</v>
      </c>
      <c r="C225" s="22" t="s">
        <v>97</v>
      </c>
      <c r="D225" s="22" t="s">
        <v>49</v>
      </c>
      <c r="E225" s="22" t="s">
        <v>50</v>
      </c>
      <c r="F225" s="22" t="s">
        <v>85</v>
      </c>
      <c r="G225" s="22" t="s">
        <v>52</v>
      </c>
      <c r="H225" s="23">
        <v>1399</v>
      </c>
      <c r="I225" s="24">
        <v>10</v>
      </c>
      <c r="J225" s="25">
        <f t="shared" si="0"/>
        <v>13990</v>
      </c>
      <c r="K225" t="str">
        <f t="shared" si="4"/>
        <v>SI</v>
      </c>
    </row>
    <row r="226" spans="1:11" x14ac:dyDescent="0.35">
      <c r="A226" s="33">
        <v>43330</v>
      </c>
      <c r="B226" s="22" t="s">
        <v>53</v>
      </c>
      <c r="C226" s="22" t="s">
        <v>64</v>
      </c>
      <c r="D226" s="22" t="s">
        <v>49</v>
      </c>
      <c r="E226" s="22" t="s">
        <v>62</v>
      </c>
      <c r="F226" s="22" t="s">
        <v>63</v>
      </c>
      <c r="G226" s="22" t="s">
        <v>57</v>
      </c>
      <c r="H226" s="23">
        <v>1279</v>
      </c>
      <c r="I226" s="24">
        <v>10</v>
      </c>
      <c r="J226" s="25">
        <f t="shared" si="0"/>
        <v>12790</v>
      </c>
      <c r="K226" t="str">
        <f t="shared" si="4"/>
        <v>SI</v>
      </c>
    </row>
    <row r="227" spans="1:11" x14ac:dyDescent="0.35">
      <c r="A227" s="33">
        <v>43330</v>
      </c>
      <c r="B227" s="22" t="s">
        <v>53</v>
      </c>
      <c r="C227" s="22" t="s">
        <v>64</v>
      </c>
      <c r="D227" s="22" t="s">
        <v>49</v>
      </c>
      <c r="E227" s="22" t="s">
        <v>59</v>
      </c>
      <c r="F227" s="22" t="s">
        <v>99</v>
      </c>
      <c r="G227" s="22" t="s">
        <v>57</v>
      </c>
      <c r="H227" s="23">
        <v>1269</v>
      </c>
      <c r="I227" s="24">
        <v>10</v>
      </c>
      <c r="J227" s="25">
        <f t="shared" si="0"/>
        <v>12690</v>
      </c>
      <c r="K227" t="str">
        <f t="shared" si="4"/>
        <v>SI</v>
      </c>
    </row>
    <row r="228" spans="1:11" x14ac:dyDescent="0.35">
      <c r="A228" s="33">
        <v>43330</v>
      </c>
      <c r="B228" s="22" t="s">
        <v>53</v>
      </c>
      <c r="C228" s="22" t="s">
        <v>101</v>
      </c>
      <c r="D228" s="22" t="s">
        <v>49</v>
      </c>
      <c r="E228" s="22" t="s">
        <v>59</v>
      </c>
      <c r="F228" s="22" t="s">
        <v>60</v>
      </c>
      <c r="G228" s="22" t="s">
        <v>57</v>
      </c>
      <c r="H228" s="23">
        <v>1269</v>
      </c>
      <c r="I228" s="24">
        <v>8</v>
      </c>
      <c r="J228" s="25">
        <f t="shared" si="0"/>
        <v>10152</v>
      </c>
      <c r="K228" t="str">
        <f t="shared" si="4"/>
        <v>SI</v>
      </c>
    </row>
    <row r="229" spans="1:11" x14ac:dyDescent="0.35">
      <c r="A229" s="33">
        <v>43330</v>
      </c>
      <c r="B229" s="22" t="s">
        <v>53</v>
      </c>
      <c r="C229" s="22" t="s">
        <v>97</v>
      </c>
      <c r="D229" s="22" t="s">
        <v>49</v>
      </c>
      <c r="E229" s="22" t="s">
        <v>50</v>
      </c>
      <c r="F229" s="22" t="s">
        <v>85</v>
      </c>
      <c r="G229" s="22" t="s">
        <v>52</v>
      </c>
      <c r="H229" s="23">
        <v>1269</v>
      </c>
      <c r="I229" s="24">
        <v>35</v>
      </c>
      <c r="J229" s="25">
        <f t="shared" si="0"/>
        <v>44415</v>
      </c>
      <c r="K229" t="str">
        <f t="shared" si="4"/>
        <v>SI</v>
      </c>
    </row>
    <row r="230" spans="1:11" x14ac:dyDescent="0.35">
      <c r="A230" s="33">
        <v>43330</v>
      </c>
      <c r="B230" s="22" t="s">
        <v>66</v>
      </c>
      <c r="C230" s="22" t="s">
        <v>69</v>
      </c>
      <c r="D230" s="22" t="s">
        <v>49</v>
      </c>
      <c r="E230" s="22" t="s">
        <v>67</v>
      </c>
      <c r="F230" s="22" t="s">
        <v>68</v>
      </c>
      <c r="G230" s="22" t="s">
        <v>57</v>
      </c>
      <c r="H230" s="23">
        <v>1259</v>
      </c>
      <c r="I230" s="24">
        <v>36</v>
      </c>
      <c r="J230" s="25">
        <f t="shared" si="0"/>
        <v>45324</v>
      </c>
      <c r="K230" t="str">
        <f t="shared" si="4"/>
        <v>SI</v>
      </c>
    </row>
    <row r="231" spans="1:11" x14ac:dyDescent="0.35">
      <c r="A231" s="33">
        <v>43330</v>
      </c>
      <c r="B231" s="22" t="s">
        <v>61</v>
      </c>
      <c r="C231" s="22" t="s">
        <v>69</v>
      </c>
      <c r="D231" s="22" t="s">
        <v>49</v>
      </c>
      <c r="E231" s="22" t="s">
        <v>59</v>
      </c>
      <c r="F231" s="22" t="s">
        <v>78</v>
      </c>
      <c r="G231" s="22" t="s">
        <v>57</v>
      </c>
      <c r="H231" s="23">
        <v>1249</v>
      </c>
      <c r="I231" s="24">
        <v>25</v>
      </c>
      <c r="J231" s="25">
        <f t="shared" si="0"/>
        <v>31225</v>
      </c>
      <c r="K231" t="str">
        <f t="shared" si="4"/>
        <v>SI</v>
      </c>
    </row>
    <row r="232" spans="1:11" x14ac:dyDescent="0.35">
      <c r="A232" s="33">
        <v>43330</v>
      </c>
      <c r="B232" s="22" t="s">
        <v>74</v>
      </c>
      <c r="C232" s="22" t="s">
        <v>97</v>
      </c>
      <c r="D232" s="22" t="s">
        <v>49</v>
      </c>
      <c r="E232" s="22" t="s">
        <v>67</v>
      </c>
      <c r="F232" s="22" t="s">
        <v>68</v>
      </c>
      <c r="G232" s="22" t="s">
        <v>57</v>
      </c>
      <c r="H232" s="23">
        <v>1169</v>
      </c>
      <c r="I232" s="24">
        <v>10</v>
      </c>
      <c r="J232" s="25">
        <f t="shared" si="0"/>
        <v>11690</v>
      </c>
      <c r="K232" t="str">
        <f t="shared" si="4"/>
        <v>SI</v>
      </c>
    </row>
    <row r="233" spans="1:11" x14ac:dyDescent="0.35">
      <c r="A233" s="33">
        <v>43330</v>
      </c>
      <c r="B233" s="22" t="s">
        <v>74</v>
      </c>
      <c r="C233" s="22" t="s">
        <v>64</v>
      </c>
      <c r="D233" s="22" t="s">
        <v>49</v>
      </c>
      <c r="E233" s="22" t="s">
        <v>72</v>
      </c>
      <c r="F233" s="22" t="s">
        <v>73</v>
      </c>
      <c r="G233" s="22" t="s">
        <v>57</v>
      </c>
      <c r="H233" s="23">
        <v>1169</v>
      </c>
      <c r="I233" s="24">
        <v>5</v>
      </c>
      <c r="J233" s="25">
        <f t="shared" si="0"/>
        <v>5845</v>
      </c>
      <c r="K233" t="str">
        <f t="shared" si="4"/>
        <v>SI</v>
      </c>
    </row>
    <row r="234" spans="1:11" x14ac:dyDescent="0.35">
      <c r="A234" s="33">
        <v>43330</v>
      </c>
      <c r="B234" s="22" t="s">
        <v>102</v>
      </c>
      <c r="C234" s="22" t="s">
        <v>58</v>
      </c>
      <c r="D234" s="22" t="s">
        <v>49</v>
      </c>
      <c r="E234" s="22" t="s">
        <v>59</v>
      </c>
      <c r="F234" s="22" t="s">
        <v>78</v>
      </c>
      <c r="G234" s="22" t="s">
        <v>52</v>
      </c>
      <c r="H234" s="23">
        <v>1049</v>
      </c>
      <c r="I234" s="24">
        <v>10</v>
      </c>
      <c r="J234" s="25">
        <f t="shared" si="0"/>
        <v>10490</v>
      </c>
      <c r="K234" t="str">
        <f t="shared" si="4"/>
        <v>SI</v>
      </c>
    </row>
    <row r="235" spans="1:11" x14ac:dyDescent="0.35">
      <c r="A235" s="33">
        <v>43330</v>
      </c>
      <c r="B235" s="22" t="s">
        <v>100</v>
      </c>
      <c r="C235" s="22" t="s">
        <v>69</v>
      </c>
      <c r="D235" s="22" t="s">
        <v>49</v>
      </c>
      <c r="E235" s="22" t="s">
        <v>72</v>
      </c>
      <c r="F235" s="22" t="s">
        <v>73</v>
      </c>
      <c r="G235" s="22" t="s">
        <v>57</v>
      </c>
      <c r="H235" s="23">
        <v>1029</v>
      </c>
      <c r="I235" s="24">
        <v>10</v>
      </c>
      <c r="J235" s="25">
        <f t="shared" si="0"/>
        <v>10290</v>
      </c>
      <c r="K235" t="str">
        <f t="shared" si="4"/>
        <v>SI</v>
      </c>
    </row>
    <row r="236" spans="1:11" x14ac:dyDescent="0.35">
      <c r="A236" s="33">
        <v>43330</v>
      </c>
      <c r="B236" s="22" t="s">
        <v>76</v>
      </c>
      <c r="C236" s="22" t="s">
        <v>71</v>
      </c>
      <c r="D236" s="22" t="s">
        <v>77</v>
      </c>
      <c r="E236" s="22" t="s">
        <v>72</v>
      </c>
      <c r="F236" s="22" t="s">
        <v>73</v>
      </c>
      <c r="G236" s="22" t="s">
        <v>57</v>
      </c>
      <c r="H236" s="23">
        <v>1005</v>
      </c>
      <c r="I236" s="24">
        <v>5</v>
      </c>
      <c r="J236" s="25">
        <f t="shared" si="0"/>
        <v>5025</v>
      </c>
      <c r="K236" t="str">
        <f t="shared" si="4"/>
        <v>SI</v>
      </c>
    </row>
    <row r="237" spans="1:11" x14ac:dyDescent="0.35">
      <c r="A237" s="33">
        <v>43330</v>
      </c>
      <c r="B237" s="22" t="s">
        <v>76</v>
      </c>
      <c r="C237" s="22" t="s">
        <v>58</v>
      </c>
      <c r="D237" s="22" t="s">
        <v>77</v>
      </c>
      <c r="E237" s="22" t="s">
        <v>62</v>
      </c>
      <c r="F237" s="22" t="s">
        <v>79</v>
      </c>
      <c r="G237" s="22" t="s">
        <v>57</v>
      </c>
      <c r="H237" s="23">
        <v>1004</v>
      </c>
      <c r="I237" s="24">
        <v>30</v>
      </c>
      <c r="J237" s="25">
        <f t="shared" si="0"/>
        <v>30120</v>
      </c>
      <c r="K237" t="str">
        <f t="shared" si="4"/>
        <v>SI</v>
      </c>
    </row>
    <row r="238" spans="1:11" x14ac:dyDescent="0.35">
      <c r="A238" s="33">
        <v>43330</v>
      </c>
      <c r="B238" s="22" t="s">
        <v>76</v>
      </c>
      <c r="C238" s="22" t="s">
        <v>58</v>
      </c>
      <c r="D238" s="22" t="s">
        <v>77</v>
      </c>
      <c r="E238" s="22" t="s">
        <v>59</v>
      </c>
      <c r="F238" s="22" t="s">
        <v>99</v>
      </c>
      <c r="G238" s="22" t="s">
        <v>57</v>
      </c>
      <c r="H238" s="23">
        <v>1003</v>
      </c>
      <c r="I238" s="24">
        <v>30</v>
      </c>
      <c r="J238" s="25">
        <f t="shared" si="0"/>
        <v>30090</v>
      </c>
      <c r="K238" t="str">
        <f t="shared" si="4"/>
        <v>SI</v>
      </c>
    </row>
    <row r="239" spans="1:11" x14ac:dyDescent="0.35">
      <c r="A239" s="33">
        <v>43330</v>
      </c>
      <c r="B239" s="22" t="s">
        <v>80</v>
      </c>
      <c r="C239" s="22" t="s">
        <v>58</v>
      </c>
      <c r="D239" s="22" t="s">
        <v>77</v>
      </c>
      <c r="E239" s="22" t="s">
        <v>67</v>
      </c>
      <c r="F239" s="22" t="s">
        <v>88</v>
      </c>
      <c r="G239" s="22" t="s">
        <v>52</v>
      </c>
      <c r="H239" s="23">
        <v>999</v>
      </c>
      <c r="I239" s="24">
        <v>8</v>
      </c>
      <c r="J239" s="25">
        <f t="shared" si="0"/>
        <v>7992</v>
      </c>
      <c r="K239" t="str">
        <f t="shared" si="4"/>
        <v>SI</v>
      </c>
    </row>
    <row r="240" spans="1:11" x14ac:dyDescent="0.35">
      <c r="A240" s="33">
        <v>43330</v>
      </c>
      <c r="B240" s="22" t="s">
        <v>80</v>
      </c>
      <c r="C240" s="22" t="s">
        <v>58</v>
      </c>
      <c r="D240" s="22" t="s">
        <v>77</v>
      </c>
      <c r="E240" s="22" t="s">
        <v>62</v>
      </c>
      <c r="F240" s="22" t="s">
        <v>63</v>
      </c>
      <c r="G240" s="22" t="s">
        <v>52</v>
      </c>
      <c r="H240" s="23">
        <v>999</v>
      </c>
      <c r="I240" s="24">
        <v>30</v>
      </c>
      <c r="J240" s="25">
        <f t="shared" si="0"/>
        <v>29970</v>
      </c>
      <c r="K240" t="str">
        <f t="shared" si="4"/>
        <v>SI</v>
      </c>
    </row>
    <row r="241" spans="1:11" x14ac:dyDescent="0.35">
      <c r="A241" s="33">
        <v>43330</v>
      </c>
      <c r="B241" s="22" t="s">
        <v>76</v>
      </c>
      <c r="C241" s="22" t="s">
        <v>58</v>
      </c>
      <c r="D241" s="22" t="s">
        <v>77</v>
      </c>
      <c r="E241" s="22" t="s">
        <v>59</v>
      </c>
      <c r="F241" s="22" t="s">
        <v>60</v>
      </c>
      <c r="G241" s="22" t="s">
        <v>57</v>
      </c>
      <c r="H241" s="23">
        <v>999</v>
      </c>
      <c r="I241" s="24">
        <v>6</v>
      </c>
      <c r="J241" s="25">
        <f t="shared" si="0"/>
        <v>5994</v>
      </c>
      <c r="K241" t="str">
        <f t="shared" si="4"/>
        <v>SI</v>
      </c>
    </row>
    <row r="242" spans="1:11" x14ac:dyDescent="0.35">
      <c r="A242" s="33">
        <v>43330</v>
      </c>
      <c r="B242" s="22" t="s">
        <v>80</v>
      </c>
      <c r="C242" s="22" t="s">
        <v>58</v>
      </c>
      <c r="D242" s="22" t="s">
        <v>77</v>
      </c>
      <c r="E242" s="22" t="s">
        <v>50</v>
      </c>
      <c r="F242" s="22" t="s">
        <v>81</v>
      </c>
      <c r="G242" s="22" t="s">
        <v>52</v>
      </c>
      <c r="H242" s="23">
        <v>999</v>
      </c>
      <c r="I242" s="24">
        <v>7</v>
      </c>
      <c r="J242" s="25">
        <f t="shared" si="0"/>
        <v>6993</v>
      </c>
      <c r="K242" t="str">
        <f t="shared" si="4"/>
        <v>SI</v>
      </c>
    </row>
    <row r="243" spans="1:11" x14ac:dyDescent="0.35">
      <c r="A243" s="33">
        <v>43330</v>
      </c>
      <c r="B243" s="22" t="s">
        <v>76</v>
      </c>
      <c r="C243" s="22" t="s">
        <v>58</v>
      </c>
      <c r="D243" s="22" t="s">
        <v>77</v>
      </c>
      <c r="E243" s="22" t="s">
        <v>72</v>
      </c>
      <c r="F243" s="22" t="s">
        <v>73</v>
      </c>
      <c r="G243" s="22" t="s">
        <v>57</v>
      </c>
      <c r="H243" s="23">
        <v>999</v>
      </c>
      <c r="I243" s="24">
        <v>10</v>
      </c>
      <c r="J243" s="25">
        <f t="shared" si="0"/>
        <v>9990</v>
      </c>
      <c r="K243" t="str">
        <f t="shared" si="4"/>
        <v>SI</v>
      </c>
    </row>
    <row r="244" spans="1:11" x14ac:dyDescent="0.35">
      <c r="A244" s="33">
        <v>43330</v>
      </c>
      <c r="B244" s="22" t="s">
        <v>100</v>
      </c>
      <c r="C244" s="22" t="s">
        <v>64</v>
      </c>
      <c r="D244" s="22" t="s">
        <v>49</v>
      </c>
      <c r="E244" s="22" t="s">
        <v>59</v>
      </c>
      <c r="F244" s="22" t="s">
        <v>99</v>
      </c>
      <c r="G244" s="22" t="s">
        <v>52</v>
      </c>
      <c r="H244" s="23">
        <v>869</v>
      </c>
      <c r="I244" s="24">
        <v>25</v>
      </c>
      <c r="J244" s="25">
        <f t="shared" si="0"/>
        <v>21725</v>
      </c>
      <c r="K244" t="str">
        <f t="shared" si="4"/>
        <v>SI</v>
      </c>
    </row>
    <row r="245" spans="1:11" x14ac:dyDescent="0.35">
      <c r="A245" s="33">
        <v>43330</v>
      </c>
      <c r="B245" s="22" t="s">
        <v>102</v>
      </c>
      <c r="C245" s="22" t="s">
        <v>71</v>
      </c>
      <c r="D245" s="22" t="s">
        <v>49</v>
      </c>
      <c r="E245" s="22" t="s">
        <v>50</v>
      </c>
      <c r="F245" s="22" t="s">
        <v>51</v>
      </c>
      <c r="G245" s="22" t="s">
        <v>52</v>
      </c>
      <c r="H245" s="23">
        <v>849</v>
      </c>
      <c r="I245" s="24">
        <v>36</v>
      </c>
      <c r="J245" s="25">
        <f t="shared" si="0"/>
        <v>30564</v>
      </c>
      <c r="K245" t="str">
        <f t="shared" si="4"/>
        <v>SI</v>
      </c>
    </row>
    <row r="246" spans="1:11" x14ac:dyDescent="0.35">
      <c r="A246" s="33">
        <v>43330</v>
      </c>
      <c r="B246" s="22" t="s">
        <v>98</v>
      </c>
      <c r="C246" s="22" t="s">
        <v>54</v>
      </c>
      <c r="D246" s="22" t="s">
        <v>49</v>
      </c>
      <c r="E246" s="22" t="s">
        <v>55</v>
      </c>
      <c r="F246" s="22" t="s">
        <v>84</v>
      </c>
      <c r="G246" s="22" t="s">
        <v>57</v>
      </c>
      <c r="H246" s="23">
        <v>259</v>
      </c>
      <c r="I246" s="24">
        <v>10</v>
      </c>
      <c r="J246" s="25">
        <f t="shared" si="0"/>
        <v>2590</v>
      </c>
      <c r="K246" t="str">
        <f t="shared" si="4"/>
        <v>SI</v>
      </c>
    </row>
    <row r="247" spans="1:11" x14ac:dyDescent="0.35">
      <c r="A247" s="33">
        <v>43330</v>
      </c>
      <c r="B247" s="22" t="s">
        <v>82</v>
      </c>
      <c r="C247" s="22" t="s">
        <v>54</v>
      </c>
      <c r="D247" s="22" t="s">
        <v>77</v>
      </c>
      <c r="E247" s="22" t="s">
        <v>62</v>
      </c>
      <c r="F247" s="22" t="s">
        <v>63</v>
      </c>
      <c r="G247" s="22" t="s">
        <v>57</v>
      </c>
      <c r="H247" s="23">
        <v>249</v>
      </c>
      <c r="I247" s="24">
        <v>30</v>
      </c>
      <c r="J247" s="25">
        <f t="shared" si="0"/>
        <v>7470</v>
      </c>
      <c r="K247" t="str">
        <f t="shared" si="4"/>
        <v>SI</v>
      </c>
    </row>
    <row r="248" spans="1:11" x14ac:dyDescent="0.35">
      <c r="A248" s="33">
        <v>43330</v>
      </c>
      <c r="B248" s="22" t="s">
        <v>82</v>
      </c>
      <c r="C248" s="22" t="s">
        <v>58</v>
      </c>
      <c r="D248" s="22" t="s">
        <v>77</v>
      </c>
      <c r="E248" s="22" t="s">
        <v>59</v>
      </c>
      <c r="F248" s="22" t="s">
        <v>60</v>
      </c>
      <c r="G248" s="22" t="s">
        <v>57</v>
      </c>
      <c r="H248" s="23">
        <v>249</v>
      </c>
      <c r="I248" s="24">
        <v>35</v>
      </c>
      <c r="J248" s="25">
        <f t="shared" si="0"/>
        <v>8715</v>
      </c>
      <c r="K248" t="str">
        <f t="shared" si="4"/>
        <v>SI</v>
      </c>
    </row>
    <row r="249" spans="1:11" x14ac:dyDescent="0.35">
      <c r="A249" s="33">
        <v>43330</v>
      </c>
      <c r="B249" s="22" t="s">
        <v>82</v>
      </c>
      <c r="C249" s="22" t="s">
        <v>64</v>
      </c>
      <c r="D249" s="22" t="s">
        <v>77</v>
      </c>
      <c r="E249" s="22" t="s">
        <v>72</v>
      </c>
      <c r="F249" s="22" t="s">
        <v>73</v>
      </c>
      <c r="G249" s="22" t="s">
        <v>52</v>
      </c>
      <c r="H249" s="23">
        <v>249</v>
      </c>
      <c r="I249" s="24">
        <v>6</v>
      </c>
      <c r="J249" s="25">
        <f t="shared" si="0"/>
        <v>1494</v>
      </c>
      <c r="K249" t="str">
        <f t="shared" si="4"/>
        <v>SI</v>
      </c>
    </row>
    <row r="250" spans="1:11" x14ac:dyDescent="0.35">
      <c r="A250" s="33">
        <v>43330</v>
      </c>
      <c r="B250" s="22" t="s">
        <v>82</v>
      </c>
      <c r="C250" s="22" t="s">
        <v>97</v>
      </c>
      <c r="D250" s="22" t="s">
        <v>77</v>
      </c>
      <c r="E250" s="22" t="s">
        <v>50</v>
      </c>
      <c r="F250" s="22" t="s">
        <v>85</v>
      </c>
      <c r="G250" s="22" t="s">
        <v>52</v>
      </c>
      <c r="H250" s="23">
        <v>229</v>
      </c>
      <c r="I250" s="24">
        <v>36</v>
      </c>
      <c r="J250" s="25">
        <f t="shared" si="0"/>
        <v>8244</v>
      </c>
      <c r="K250" t="str">
        <f t="shared" si="4"/>
        <v>SI</v>
      </c>
    </row>
    <row r="251" spans="1:11" x14ac:dyDescent="0.35">
      <c r="A251" s="33">
        <v>43330</v>
      </c>
      <c r="B251" s="22" t="s">
        <v>89</v>
      </c>
      <c r="C251" s="22" t="s">
        <v>106</v>
      </c>
      <c r="D251" s="22" t="s">
        <v>90</v>
      </c>
      <c r="E251" s="22" t="s">
        <v>67</v>
      </c>
      <c r="F251" s="22" t="s">
        <v>70</v>
      </c>
      <c r="G251" s="22" t="s">
        <v>52</v>
      </c>
      <c r="H251" s="23">
        <v>169</v>
      </c>
      <c r="I251" s="24">
        <v>36</v>
      </c>
      <c r="J251" s="25">
        <f t="shared" si="0"/>
        <v>6084</v>
      </c>
      <c r="K251" t="str">
        <f t="shared" si="4"/>
        <v>SI</v>
      </c>
    </row>
    <row r="252" spans="1:11" x14ac:dyDescent="0.35">
      <c r="A252" s="33">
        <v>43330</v>
      </c>
      <c r="B252" s="22" t="s">
        <v>104</v>
      </c>
      <c r="C252" s="22" t="s">
        <v>112</v>
      </c>
      <c r="D252" s="22" t="s">
        <v>87</v>
      </c>
      <c r="E252" s="22" t="s">
        <v>50</v>
      </c>
      <c r="F252" s="22" t="s">
        <v>51</v>
      </c>
      <c r="G252" s="22" t="s">
        <v>52</v>
      </c>
      <c r="H252" s="23">
        <v>155</v>
      </c>
      <c r="I252" s="24">
        <v>30</v>
      </c>
      <c r="J252" s="25">
        <f t="shared" si="0"/>
        <v>4650</v>
      </c>
      <c r="K252" t="str">
        <f t="shared" si="4"/>
        <v>SI</v>
      </c>
    </row>
    <row r="253" spans="1:11" x14ac:dyDescent="0.35">
      <c r="A253" s="33">
        <v>43330</v>
      </c>
      <c r="B253" s="22" t="s">
        <v>91</v>
      </c>
      <c r="C253" s="22" t="s">
        <v>64</v>
      </c>
      <c r="D253" s="22" t="s">
        <v>92</v>
      </c>
      <c r="E253" s="22" t="s">
        <v>59</v>
      </c>
      <c r="F253" s="22" t="s">
        <v>99</v>
      </c>
      <c r="G253" s="22" t="s">
        <v>57</v>
      </c>
      <c r="H253" s="23">
        <v>139</v>
      </c>
      <c r="I253" s="24">
        <v>10</v>
      </c>
      <c r="J253" s="25">
        <f t="shared" si="0"/>
        <v>1390</v>
      </c>
      <c r="K253" t="str">
        <f t="shared" si="4"/>
        <v>SI</v>
      </c>
    </row>
    <row r="254" spans="1:11" x14ac:dyDescent="0.35">
      <c r="A254" s="33">
        <v>43330</v>
      </c>
      <c r="B254" s="22" t="s">
        <v>91</v>
      </c>
      <c r="C254" s="22" t="s">
        <v>54</v>
      </c>
      <c r="D254" s="22" t="s">
        <v>92</v>
      </c>
      <c r="E254" s="22" t="s">
        <v>67</v>
      </c>
      <c r="F254" s="22" t="s">
        <v>88</v>
      </c>
      <c r="G254" s="22" t="s">
        <v>52</v>
      </c>
      <c r="H254" s="23">
        <v>129</v>
      </c>
      <c r="I254" s="24">
        <v>15</v>
      </c>
      <c r="J254" s="25">
        <f t="shared" si="0"/>
        <v>1935</v>
      </c>
      <c r="K254" t="str">
        <f t="shared" si="4"/>
        <v>SI</v>
      </c>
    </row>
    <row r="255" spans="1:11" x14ac:dyDescent="0.35">
      <c r="A255" s="33">
        <v>43330</v>
      </c>
      <c r="B255" s="22" t="s">
        <v>91</v>
      </c>
      <c r="C255" s="22" t="s">
        <v>64</v>
      </c>
      <c r="D255" s="22" t="s">
        <v>92</v>
      </c>
      <c r="E255" s="22" t="s">
        <v>72</v>
      </c>
      <c r="F255" s="22" t="s">
        <v>75</v>
      </c>
      <c r="G255" s="22" t="s">
        <v>57</v>
      </c>
      <c r="H255" s="23">
        <v>129</v>
      </c>
      <c r="I255" s="24">
        <v>10</v>
      </c>
      <c r="J255" s="25">
        <f t="shared" si="0"/>
        <v>1290</v>
      </c>
      <c r="K255" t="str">
        <f t="shared" si="4"/>
        <v>SI</v>
      </c>
    </row>
    <row r="256" spans="1:11" x14ac:dyDescent="0.35">
      <c r="A256" s="33">
        <v>43330</v>
      </c>
      <c r="B256" s="22" t="s">
        <v>95</v>
      </c>
      <c r="C256" s="22" t="s">
        <v>58</v>
      </c>
      <c r="D256" s="22" t="s">
        <v>87</v>
      </c>
      <c r="E256" s="22" t="s">
        <v>67</v>
      </c>
      <c r="F256" s="22" t="s">
        <v>68</v>
      </c>
      <c r="G256" s="22" t="s">
        <v>57</v>
      </c>
      <c r="H256" s="23">
        <v>99</v>
      </c>
      <c r="I256" s="24">
        <v>5</v>
      </c>
      <c r="J256" s="25">
        <f t="shared" si="0"/>
        <v>495</v>
      </c>
      <c r="K256" t="str">
        <f t="shared" si="4"/>
        <v>SI</v>
      </c>
    </row>
    <row r="257" spans="1:11" x14ac:dyDescent="0.35">
      <c r="A257" s="33">
        <v>43330</v>
      </c>
      <c r="B257" s="22" t="s">
        <v>95</v>
      </c>
      <c r="C257" s="22" t="s">
        <v>48</v>
      </c>
      <c r="D257" s="22" t="s">
        <v>87</v>
      </c>
      <c r="E257" s="22" t="s">
        <v>59</v>
      </c>
      <c r="F257" s="22" t="s">
        <v>78</v>
      </c>
      <c r="G257" s="22" t="s">
        <v>57</v>
      </c>
      <c r="H257" s="23">
        <v>99</v>
      </c>
      <c r="I257" s="24">
        <v>30</v>
      </c>
      <c r="J257" s="25">
        <f t="shared" ref="J257:J409" si="5">H257*I257</f>
        <v>2970</v>
      </c>
      <c r="K257" t="str">
        <f t="shared" si="4"/>
        <v>SI</v>
      </c>
    </row>
    <row r="258" spans="1:11" x14ac:dyDescent="0.35">
      <c r="A258" s="33">
        <v>43330</v>
      </c>
      <c r="B258" s="22" t="s">
        <v>94</v>
      </c>
      <c r="C258" s="22" t="s">
        <v>58</v>
      </c>
      <c r="D258" s="22" t="s">
        <v>87</v>
      </c>
      <c r="E258" s="22" t="s">
        <v>50</v>
      </c>
      <c r="F258" s="22" t="s">
        <v>81</v>
      </c>
      <c r="G258" s="22" t="s">
        <v>52</v>
      </c>
      <c r="H258" s="23">
        <v>99</v>
      </c>
      <c r="I258" s="24">
        <v>30</v>
      </c>
      <c r="J258" s="25">
        <f t="shared" si="5"/>
        <v>2970</v>
      </c>
      <c r="K258" t="str">
        <f t="shared" si="4"/>
        <v>SI</v>
      </c>
    </row>
    <row r="259" spans="1:11" x14ac:dyDescent="0.35">
      <c r="A259" s="33">
        <v>43330</v>
      </c>
      <c r="B259" s="22" t="s">
        <v>95</v>
      </c>
      <c r="C259" s="22" t="s">
        <v>64</v>
      </c>
      <c r="D259" s="22" t="s">
        <v>87</v>
      </c>
      <c r="E259" s="22" t="s">
        <v>72</v>
      </c>
      <c r="F259" s="22" t="s">
        <v>75</v>
      </c>
      <c r="G259" s="22" t="s">
        <v>52</v>
      </c>
      <c r="H259" s="23">
        <v>75</v>
      </c>
      <c r="I259" s="24">
        <v>35</v>
      </c>
      <c r="J259" s="25">
        <f t="shared" si="5"/>
        <v>2625</v>
      </c>
      <c r="K259" t="str">
        <f t="shared" ref="K259:K322" si="6">IF(H259*I259=J259,"SI","Error")</f>
        <v>SI</v>
      </c>
    </row>
    <row r="260" spans="1:11" x14ac:dyDescent="0.35">
      <c r="A260" s="33">
        <v>43330</v>
      </c>
      <c r="B260" s="22" t="s">
        <v>105</v>
      </c>
      <c r="C260" s="22" t="s">
        <v>64</v>
      </c>
      <c r="D260" s="22" t="s">
        <v>92</v>
      </c>
      <c r="E260" s="22" t="s">
        <v>55</v>
      </c>
      <c r="F260" s="22" t="s">
        <v>84</v>
      </c>
      <c r="G260" s="22" t="s">
        <v>57</v>
      </c>
      <c r="H260" s="23">
        <v>39</v>
      </c>
      <c r="I260" s="24">
        <v>24</v>
      </c>
      <c r="J260" s="25">
        <f t="shared" si="5"/>
        <v>936</v>
      </c>
      <c r="K260" t="str">
        <f t="shared" si="6"/>
        <v>SI</v>
      </c>
    </row>
    <row r="261" spans="1:11" x14ac:dyDescent="0.35">
      <c r="A261" s="33">
        <v>43330</v>
      </c>
      <c r="B261" s="22" t="s">
        <v>105</v>
      </c>
      <c r="C261" s="22" t="s">
        <v>58</v>
      </c>
      <c r="D261" s="22" t="s">
        <v>92</v>
      </c>
      <c r="E261" s="22" t="s">
        <v>72</v>
      </c>
      <c r="F261" s="22" t="s">
        <v>75</v>
      </c>
      <c r="G261" s="22" t="s">
        <v>52</v>
      </c>
      <c r="H261" s="23">
        <v>39</v>
      </c>
      <c r="I261" s="24">
        <v>35</v>
      </c>
      <c r="J261" s="25">
        <f t="shared" si="5"/>
        <v>1365</v>
      </c>
      <c r="K261" t="str">
        <f t="shared" si="6"/>
        <v>SI</v>
      </c>
    </row>
    <row r="262" spans="1:11" x14ac:dyDescent="0.35">
      <c r="A262" s="33">
        <v>43331</v>
      </c>
      <c r="B262" s="22" t="s">
        <v>47</v>
      </c>
      <c r="C262" s="22" t="s">
        <v>54</v>
      </c>
      <c r="D262" s="22" t="s">
        <v>49</v>
      </c>
      <c r="E262" s="22" t="s">
        <v>62</v>
      </c>
      <c r="F262" s="22" t="s">
        <v>63</v>
      </c>
      <c r="G262" s="22" t="s">
        <v>52</v>
      </c>
      <c r="H262" s="23">
        <v>2309</v>
      </c>
      <c r="I262" s="24">
        <v>10</v>
      </c>
      <c r="J262" s="25">
        <f t="shared" si="5"/>
        <v>23090</v>
      </c>
      <c r="K262" t="str">
        <f t="shared" si="6"/>
        <v>SI</v>
      </c>
    </row>
    <row r="263" spans="1:11" x14ac:dyDescent="0.35">
      <c r="A263" s="33">
        <v>43331</v>
      </c>
      <c r="B263" s="22" t="s">
        <v>47</v>
      </c>
      <c r="C263" s="22" t="s">
        <v>97</v>
      </c>
      <c r="D263" s="22" t="s">
        <v>49</v>
      </c>
      <c r="E263" s="22" t="s">
        <v>72</v>
      </c>
      <c r="F263" s="22" t="s">
        <v>75</v>
      </c>
      <c r="G263" s="22" t="s">
        <v>57</v>
      </c>
      <c r="H263" s="23">
        <v>1599</v>
      </c>
      <c r="I263" s="24">
        <v>15</v>
      </c>
      <c r="J263" s="25">
        <f t="shared" si="5"/>
        <v>23985</v>
      </c>
      <c r="K263" t="str">
        <f t="shared" si="6"/>
        <v>SI</v>
      </c>
    </row>
    <row r="264" spans="1:11" x14ac:dyDescent="0.35">
      <c r="A264" s="33">
        <v>43331</v>
      </c>
      <c r="B264" s="22" t="s">
        <v>61</v>
      </c>
      <c r="C264" s="22" t="s">
        <v>71</v>
      </c>
      <c r="D264" s="22" t="s">
        <v>49</v>
      </c>
      <c r="E264" s="22" t="s">
        <v>55</v>
      </c>
      <c r="F264" s="22" t="s">
        <v>84</v>
      </c>
      <c r="G264" s="22" t="s">
        <v>52</v>
      </c>
      <c r="H264" s="23">
        <v>1399</v>
      </c>
      <c r="I264" s="24">
        <v>45</v>
      </c>
      <c r="J264" s="25">
        <f t="shared" si="5"/>
        <v>62955</v>
      </c>
      <c r="K264" t="str">
        <f t="shared" si="6"/>
        <v>SI</v>
      </c>
    </row>
    <row r="265" spans="1:11" x14ac:dyDescent="0.35">
      <c r="A265" s="33">
        <v>43331</v>
      </c>
      <c r="B265" s="22" t="s">
        <v>61</v>
      </c>
      <c r="C265" s="22" t="s">
        <v>58</v>
      </c>
      <c r="D265" s="22" t="s">
        <v>49</v>
      </c>
      <c r="E265" s="22" t="s">
        <v>55</v>
      </c>
      <c r="F265" s="22" t="s">
        <v>56</v>
      </c>
      <c r="G265" s="22" t="s">
        <v>57</v>
      </c>
      <c r="H265" s="23">
        <v>1399</v>
      </c>
      <c r="I265" s="24">
        <v>30</v>
      </c>
      <c r="J265" s="25">
        <f t="shared" si="5"/>
        <v>41970</v>
      </c>
      <c r="K265" t="str">
        <f t="shared" si="6"/>
        <v>SI</v>
      </c>
    </row>
    <row r="266" spans="1:11" x14ac:dyDescent="0.35">
      <c r="A266" s="33">
        <v>43331</v>
      </c>
      <c r="B266" s="22" t="s">
        <v>61</v>
      </c>
      <c r="C266" s="22" t="s">
        <v>54</v>
      </c>
      <c r="D266" s="22" t="s">
        <v>49</v>
      </c>
      <c r="E266" s="22" t="s">
        <v>59</v>
      </c>
      <c r="F266" s="22" t="s">
        <v>78</v>
      </c>
      <c r="G266" s="22" t="s">
        <v>57</v>
      </c>
      <c r="H266" s="23">
        <v>1399</v>
      </c>
      <c r="I266" s="24">
        <v>40</v>
      </c>
      <c r="J266" s="25">
        <f t="shared" si="5"/>
        <v>55960</v>
      </c>
      <c r="K266" t="str">
        <f t="shared" si="6"/>
        <v>SI</v>
      </c>
    </row>
    <row r="267" spans="1:11" x14ac:dyDescent="0.35">
      <c r="A267" s="33">
        <v>43331</v>
      </c>
      <c r="B267" s="22" t="s">
        <v>61</v>
      </c>
      <c r="C267" s="22" t="s">
        <v>58</v>
      </c>
      <c r="D267" s="22" t="s">
        <v>49</v>
      </c>
      <c r="E267" s="22" t="s">
        <v>59</v>
      </c>
      <c r="F267" s="22" t="s">
        <v>78</v>
      </c>
      <c r="G267" s="22" t="s">
        <v>57</v>
      </c>
      <c r="H267" s="23">
        <v>1399</v>
      </c>
      <c r="I267" s="24">
        <v>24</v>
      </c>
      <c r="J267" s="25">
        <f t="shared" si="5"/>
        <v>33576</v>
      </c>
      <c r="K267" t="str">
        <f t="shared" si="6"/>
        <v>SI</v>
      </c>
    </row>
    <row r="268" spans="1:11" x14ac:dyDescent="0.35">
      <c r="A268" s="33">
        <v>43331</v>
      </c>
      <c r="B268" s="22" t="s">
        <v>53</v>
      </c>
      <c r="C268" s="22" t="s">
        <v>101</v>
      </c>
      <c r="D268" s="22" t="s">
        <v>49</v>
      </c>
      <c r="E268" s="22" t="s">
        <v>59</v>
      </c>
      <c r="F268" s="22" t="s">
        <v>60</v>
      </c>
      <c r="G268" s="22" t="s">
        <v>57</v>
      </c>
      <c r="H268" s="23">
        <v>1269</v>
      </c>
      <c r="I268" s="24">
        <v>7</v>
      </c>
      <c r="J268" s="25">
        <f t="shared" si="5"/>
        <v>8883</v>
      </c>
      <c r="K268" t="str">
        <f t="shared" si="6"/>
        <v>SI</v>
      </c>
    </row>
    <row r="269" spans="1:11" x14ac:dyDescent="0.35">
      <c r="A269" s="33">
        <v>43331</v>
      </c>
      <c r="B269" s="22" t="s">
        <v>53</v>
      </c>
      <c r="C269" s="22" t="s">
        <v>64</v>
      </c>
      <c r="D269" s="22" t="s">
        <v>49</v>
      </c>
      <c r="E269" s="22" t="s">
        <v>50</v>
      </c>
      <c r="F269" s="22" t="s">
        <v>81</v>
      </c>
      <c r="G269" s="22" t="s">
        <v>57</v>
      </c>
      <c r="H269" s="23">
        <v>1269</v>
      </c>
      <c r="I269" s="24">
        <v>4</v>
      </c>
      <c r="J269" s="25">
        <f t="shared" si="5"/>
        <v>5076</v>
      </c>
      <c r="K269" t="str">
        <f t="shared" si="6"/>
        <v>SI</v>
      </c>
    </row>
    <row r="270" spans="1:11" x14ac:dyDescent="0.35">
      <c r="A270" s="33">
        <v>43331</v>
      </c>
      <c r="B270" s="22" t="s">
        <v>66</v>
      </c>
      <c r="C270" s="22" t="s">
        <v>48</v>
      </c>
      <c r="D270" s="22" t="s">
        <v>49</v>
      </c>
      <c r="E270" s="22" t="s">
        <v>59</v>
      </c>
      <c r="F270" s="22" t="s">
        <v>78</v>
      </c>
      <c r="G270" s="22" t="s">
        <v>52</v>
      </c>
      <c r="H270" s="23">
        <v>1259</v>
      </c>
      <c r="I270" s="24">
        <v>24</v>
      </c>
      <c r="J270" s="25">
        <f t="shared" si="5"/>
        <v>30216</v>
      </c>
      <c r="K270" t="str">
        <f t="shared" si="6"/>
        <v>SI</v>
      </c>
    </row>
    <row r="271" spans="1:11" x14ac:dyDescent="0.35">
      <c r="A271" s="33">
        <v>43331</v>
      </c>
      <c r="B271" s="22" t="s">
        <v>61</v>
      </c>
      <c r="C271" s="22" t="s">
        <v>54</v>
      </c>
      <c r="D271" s="22" t="s">
        <v>49</v>
      </c>
      <c r="E271" s="22" t="s">
        <v>50</v>
      </c>
      <c r="F271" s="22" t="s">
        <v>85</v>
      </c>
      <c r="G271" s="22" t="s">
        <v>57</v>
      </c>
      <c r="H271" s="23">
        <v>1249</v>
      </c>
      <c r="I271" s="24">
        <v>30</v>
      </c>
      <c r="J271" s="25">
        <f t="shared" si="5"/>
        <v>37470</v>
      </c>
      <c r="K271" t="str">
        <f t="shared" si="6"/>
        <v>SI</v>
      </c>
    </row>
    <row r="272" spans="1:11" x14ac:dyDescent="0.35">
      <c r="A272" s="33">
        <v>43331</v>
      </c>
      <c r="B272" s="22" t="s">
        <v>61</v>
      </c>
      <c r="C272" s="22" t="s">
        <v>69</v>
      </c>
      <c r="D272" s="22" t="s">
        <v>49</v>
      </c>
      <c r="E272" s="22" t="s">
        <v>50</v>
      </c>
      <c r="F272" s="22" t="s">
        <v>51</v>
      </c>
      <c r="G272" s="22" t="s">
        <v>52</v>
      </c>
      <c r="H272" s="23">
        <v>1249</v>
      </c>
      <c r="I272" s="24">
        <v>30</v>
      </c>
      <c r="J272" s="25">
        <f t="shared" si="5"/>
        <v>37470</v>
      </c>
      <c r="K272" t="str">
        <f t="shared" si="6"/>
        <v>SI</v>
      </c>
    </row>
    <row r="273" spans="1:11" x14ac:dyDescent="0.35">
      <c r="A273" s="33">
        <v>43331</v>
      </c>
      <c r="B273" s="22" t="s">
        <v>74</v>
      </c>
      <c r="C273" s="22" t="s">
        <v>58</v>
      </c>
      <c r="D273" s="22" t="s">
        <v>49</v>
      </c>
      <c r="E273" s="22" t="s">
        <v>62</v>
      </c>
      <c r="F273" s="22" t="s">
        <v>79</v>
      </c>
      <c r="G273" s="22" t="s">
        <v>57</v>
      </c>
      <c r="H273" s="23">
        <v>1169</v>
      </c>
      <c r="I273" s="24">
        <v>24</v>
      </c>
      <c r="J273" s="25">
        <f t="shared" si="5"/>
        <v>28056</v>
      </c>
      <c r="K273" t="str">
        <f t="shared" si="6"/>
        <v>SI</v>
      </c>
    </row>
    <row r="274" spans="1:11" x14ac:dyDescent="0.35">
      <c r="A274" s="33">
        <v>43331</v>
      </c>
      <c r="B274" s="22" t="s">
        <v>74</v>
      </c>
      <c r="C274" s="22" t="s">
        <v>48</v>
      </c>
      <c r="D274" s="22" t="s">
        <v>49</v>
      </c>
      <c r="E274" s="22" t="s">
        <v>62</v>
      </c>
      <c r="F274" s="22" t="s">
        <v>63</v>
      </c>
      <c r="G274" s="22" t="s">
        <v>57</v>
      </c>
      <c r="H274" s="23">
        <v>1169</v>
      </c>
      <c r="I274" s="24">
        <v>25</v>
      </c>
      <c r="J274" s="25">
        <f t="shared" si="5"/>
        <v>29225</v>
      </c>
      <c r="K274" t="str">
        <f t="shared" si="6"/>
        <v>SI</v>
      </c>
    </row>
    <row r="275" spans="1:11" x14ac:dyDescent="0.35">
      <c r="A275" s="33">
        <v>43331</v>
      </c>
      <c r="B275" s="22" t="s">
        <v>66</v>
      </c>
      <c r="C275" s="22" t="s">
        <v>58</v>
      </c>
      <c r="D275" s="22" t="s">
        <v>49</v>
      </c>
      <c r="E275" s="22" t="s">
        <v>62</v>
      </c>
      <c r="F275" s="22" t="s">
        <v>63</v>
      </c>
      <c r="G275" s="22" t="s">
        <v>57</v>
      </c>
      <c r="H275" s="23">
        <v>1069</v>
      </c>
      <c r="I275" s="24">
        <v>40</v>
      </c>
      <c r="J275" s="25">
        <f t="shared" si="5"/>
        <v>42760</v>
      </c>
      <c r="K275" t="str">
        <f t="shared" si="6"/>
        <v>SI</v>
      </c>
    </row>
    <row r="276" spans="1:11" x14ac:dyDescent="0.35">
      <c r="A276" s="33">
        <v>43331</v>
      </c>
      <c r="B276" s="22" t="s">
        <v>76</v>
      </c>
      <c r="C276" s="22" t="s">
        <v>58</v>
      </c>
      <c r="D276" s="22" t="s">
        <v>77</v>
      </c>
      <c r="E276" s="22" t="s">
        <v>55</v>
      </c>
      <c r="F276" s="22" t="s">
        <v>65</v>
      </c>
      <c r="G276" s="22" t="s">
        <v>57</v>
      </c>
      <c r="H276" s="23">
        <v>1050</v>
      </c>
      <c r="I276" s="24">
        <v>35</v>
      </c>
      <c r="J276" s="25">
        <f t="shared" si="5"/>
        <v>36750</v>
      </c>
      <c r="K276" t="str">
        <f t="shared" si="6"/>
        <v>SI</v>
      </c>
    </row>
    <row r="277" spans="1:11" x14ac:dyDescent="0.35">
      <c r="A277" s="33">
        <v>43331</v>
      </c>
      <c r="B277" s="22" t="s">
        <v>100</v>
      </c>
      <c r="C277" s="22" t="s">
        <v>106</v>
      </c>
      <c r="D277" s="22" t="s">
        <v>49</v>
      </c>
      <c r="E277" s="22" t="s">
        <v>62</v>
      </c>
      <c r="F277" s="22" t="s">
        <v>79</v>
      </c>
      <c r="G277" s="22" t="s">
        <v>52</v>
      </c>
      <c r="H277" s="23">
        <v>1029</v>
      </c>
      <c r="I277" s="24">
        <v>10</v>
      </c>
      <c r="J277" s="25">
        <f t="shared" si="5"/>
        <v>10290</v>
      </c>
      <c r="K277" t="str">
        <f t="shared" si="6"/>
        <v>SI</v>
      </c>
    </row>
    <row r="278" spans="1:11" x14ac:dyDescent="0.35">
      <c r="A278" s="33">
        <v>43331</v>
      </c>
      <c r="B278" s="22" t="s">
        <v>100</v>
      </c>
      <c r="C278" s="22" t="s">
        <v>48</v>
      </c>
      <c r="D278" s="22" t="s">
        <v>49</v>
      </c>
      <c r="E278" s="22" t="s">
        <v>62</v>
      </c>
      <c r="F278" s="22" t="s">
        <v>63</v>
      </c>
      <c r="G278" s="22" t="s">
        <v>52</v>
      </c>
      <c r="H278" s="23">
        <v>1029</v>
      </c>
      <c r="I278" s="24">
        <v>24</v>
      </c>
      <c r="J278" s="25">
        <f t="shared" si="5"/>
        <v>24696</v>
      </c>
      <c r="K278" t="str">
        <f t="shared" si="6"/>
        <v>SI</v>
      </c>
    </row>
    <row r="279" spans="1:11" x14ac:dyDescent="0.35">
      <c r="A279" s="33">
        <v>43331</v>
      </c>
      <c r="B279" s="22" t="s">
        <v>80</v>
      </c>
      <c r="C279" s="22" t="s">
        <v>58</v>
      </c>
      <c r="D279" s="22" t="s">
        <v>77</v>
      </c>
      <c r="E279" s="22" t="s">
        <v>59</v>
      </c>
      <c r="F279" s="22" t="s">
        <v>60</v>
      </c>
      <c r="G279" s="22" t="s">
        <v>57</v>
      </c>
      <c r="H279" s="23">
        <v>999</v>
      </c>
      <c r="I279" s="24">
        <v>30</v>
      </c>
      <c r="J279" s="25">
        <f t="shared" si="5"/>
        <v>29970</v>
      </c>
      <c r="K279" t="str">
        <f t="shared" si="6"/>
        <v>SI</v>
      </c>
    </row>
    <row r="280" spans="1:11" x14ac:dyDescent="0.35">
      <c r="A280" s="33">
        <v>43331</v>
      </c>
      <c r="B280" s="22" t="s">
        <v>80</v>
      </c>
      <c r="C280" s="22" t="s">
        <v>101</v>
      </c>
      <c r="D280" s="22" t="s">
        <v>77</v>
      </c>
      <c r="E280" s="22" t="s">
        <v>72</v>
      </c>
      <c r="F280" s="22" t="s">
        <v>75</v>
      </c>
      <c r="G280" s="22" t="s">
        <v>57</v>
      </c>
      <c r="H280" s="23">
        <v>999</v>
      </c>
      <c r="I280" s="24">
        <v>6</v>
      </c>
      <c r="J280" s="25">
        <f t="shared" si="5"/>
        <v>5994</v>
      </c>
      <c r="K280" t="str">
        <f t="shared" si="6"/>
        <v>SI</v>
      </c>
    </row>
    <row r="281" spans="1:11" x14ac:dyDescent="0.35">
      <c r="A281" s="33">
        <v>43331</v>
      </c>
      <c r="B281" s="22" t="s">
        <v>107</v>
      </c>
      <c r="C281" s="22" t="s">
        <v>54</v>
      </c>
      <c r="D281" s="22" t="s">
        <v>108</v>
      </c>
      <c r="E281" s="22" t="s">
        <v>62</v>
      </c>
      <c r="F281" s="22" t="s">
        <v>63</v>
      </c>
      <c r="G281" s="22" t="s">
        <v>52</v>
      </c>
      <c r="H281" s="23">
        <v>899</v>
      </c>
      <c r="I281" s="24">
        <v>36</v>
      </c>
      <c r="J281" s="25">
        <f t="shared" si="5"/>
        <v>32364</v>
      </c>
      <c r="K281" t="str">
        <f t="shared" si="6"/>
        <v>SI</v>
      </c>
    </row>
    <row r="282" spans="1:11" x14ac:dyDescent="0.35">
      <c r="A282" s="33">
        <v>43331</v>
      </c>
      <c r="B282" s="22" t="s">
        <v>82</v>
      </c>
      <c r="C282" s="22" t="s">
        <v>71</v>
      </c>
      <c r="D282" s="22" t="s">
        <v>77</v>
      </c>
      <c r="E282" s="22" t="s">
        <v>72</v>
      </c>
      <c r="F282" s="22" t="s">
        <v>75</v>
      </c>
      <c r="G282" s="22" t="s">
        <v>57</v>
      </c>
      <c r="H282" s="23">
        <v>329</v>
      </c>
      <c r="I282" s="24">
        <v>45</v>
      </c>
      <c r="J282" s="25">
        <f t="shared" si="5"/>
        <v>14805</v>
      </c>
      <c r="K282" t="str">
        <f t="shared" si="6"/>
        <v>SI</v>
      </c>
    </row>
    <row r="283" spans="1:11" x14ac:dyDescent="0.35">
      <c r="A283" s="33">
        <v>43331</v>
      </c>
      <c r="B283" s="22" t="s">
        <v>98</v>
      </c>
      <c r="C283" s="22" t="s">
        <v>64</v>
      </c>
      <c r="D283" s="22" t="s">
        <v>49</v>
      </c>
      <c r="E283" s="22" t="s">
        <v>55</v>
      </c>
      <c r="F283" s="22" t="s">
        <v>84</v>
      </c>
      <c r="G283" s="22" t="s">
        <v>52</v>
      </c>
      <c r="H283" s="23">
        <v>259</v>
      </c>
      <c r="I283" s="24">
        <v>30</v>
      </c>
      <c r="J283" s="25">
        <f t="shared" si="5"/>
        <v>7770</v>
      </c>
      <c r="K283" t="str">
        <f t="shared" si="6"/>
        <v>SI</v>
      </c>
    </row>
    <row r="284" spans="1:11" x14ac:dyDescent="0.35">
      <c r="A284" s="33">
        <v>43331</v>
      </c>
      <c r="B284" s="22" t="s">
        <v>98</v>
      </c>
      <c r="C284" s="22" t="s">
        <v>54</v>
      </c>
      <c r="D284" s="22" t="s">
        <v>49</v>
      </c>
      <c r="E284" s="22" t="s">
        <v>72</v>
      </c>
      <c r="F284" s="22" t="s">
        <v>73</v>
      </c>
      <c r="G284" s="22" t="s">
        <v>57</v>
      </c>
      <c r="H284" s="23">
        <v>259</v>
      </c>
      <c r="I284" s="24">
        <v>35</v>
      </c>
      <c r="J284" s="25">
        <f t="shared" si="5"/>
        <v>9065</v>
      </c>
      <c r="K284" t="str">
        <f t="shared" si="6"/>
        <v>SI</v>
      </c>
    </row>
    <row r="285" spans="1:11" x14ac:dyDescent="0.35">
      <c r="A285" s="33">
        <v>43331</v>
      </c>
      <c r="B285" s="22" t="s">
        <v>82</v>
      </c>
      <c r="C285" s="22" t="s">
        <v>64</v>
      </c>
      <c r="D285" s="22" t="s">
        <v>77</v>
      </c>
      <c r="E285" s="22" t="s">
        <v>59</v>
      </c>
      <c r="F285" s="22" t="s">
        <v>60</v>
      </c>
      <c r="G285" s="22" t="s">
        <v>52</v>
      </c>
      <c r="H285" s="23">
        <v>249</v>
      </c>
      <c r="I285" s="24">
        <v>24</v>
      </c>
      <c r="J285" s="25">
        <f t="shared" si="5"/>
        <v>5976</v>
      </c>
      <c r="K285" t="str">
        <f t="shared" si="6"/>
        <v>SI</v>
      </c>
    </row>
    <row r="286" spans="1:11" x14ac:dyDescent="0.35">
      <c r="A286" s="33">
        <v>43331</v>
      </c>
      <c r="B286" s="22" t="s">
        <v>82</v>
      </c>
      <c r="C286" s="22" t="s">
        <v>64</v>
      </c>
      <c r="D286" s="22" t="s">
        <v>77</v>
      </c>
      <c r="E286" s="22" t="s">
        <v>72</v>
      </c>
      <c r="F286" s="22" t="s">
        <v>75</v>
      </c>
      <c r="G286" s="22" t="s">
        <v>57</v>
      </c>
      <c r="H286" s="23">
        <v>249</v>
      </c>
      <c r="I286" s="24">
        <v>36</v>
      </c>
      <c r="J286" s="25">
        <f t="shared" si="5"/>
        <v>8964</v>
      </c>
      <c r="K286" t="str">
        <f t="shared" si="6"/>
        <v>SI</v>
      </c>
    </row>
    <row r="287" spans="1:11" x14ac:dyDescent="0.35">
      <c r="A287" s="33">
        <v>43331</v>
      </c>
      <c r="B287" s="22" t="s">
        <v>82</v>
      </c>
      <c r="C287" s="22" t="s">
        <v>58</v>
      </c>
      <c r="D287" s="22" t="s">
        <v>77</v>
      </c>
      <c r="E287" s="22" t="s">
        <v>72</v>
      </c>
      <c r="F287" s="22" t="s">
        <v>83</v>
      </c>
      <c r="G287" s="22" t="s">
        <v>52</v>
      </c>
      <c r="H287" s="23">
        <v>249</v>
      </c>
      <c r="I287" s="24">
        <v>40</v>
      </c>
      <c r="J287" s="25">
        <f t="shared" si="5"/>
        <v>9960</v>
      </c>
      <c r="K287" t="str">
        <f t="shared" si="6"/>
        <v>SI</v>
      </c>
    </row>
    <row r="288" spans="1:11" x14ac:dyDescent="0.35">
      <c r="A288" s="33">
        <v>43331</v>
      </c>
      <c r="B288" s="22" t="s">
        <v>82</v>
      </c>
      <c r="C288" s="22" t="s">
        <v>64</v>
      </c>
      <c r="D288" s="22" t="s">
        <v>77</v>
      </c>
      <c r="E288" s="22" t="s">
        <v>50</v>
      </c>
      <c r="F288" s="22" t="s">
        <v>85</v>
      </c>
      <c r="G288" s="22" t="s">
        <v>52</v>
      </c>
      <c r="H288" s="23">
        <v>229</v>
      </c>
      <c r="I288" s="24">
        <v>35</v>
      </c>
      <c r="J288" s="25">
        <f t="shared" si="5"/>
        <v>8015</v>
      </c>
      <c r="K288" t="str">
        <f t="shared" si="6"/>
        <v>SI</v>
      </c>
    </row>
    <row r="289" spans="1:11" x14ac:dyDescent="0.35">
      <c r="A289" s="33">
        <v>43331</v>
      </c>
      <c r="B289" s="22" t="s">
        <v>82</v>
      </c>
      <c r="C289" s="22" t="s">
        <v>97</v>
      </c>
      <c r="D289" s="22" t="s">
        <v>77</v>
      </c>
      <c r="E289" s="22" t="s">
        <v>50</v>
      </c>
      <c r="F289" s="22" t="s">
        <v>85</v>
      </c>
      <c r="G289" s="22" t="s">
        <v>57</v>
      </c>
      <c r="H289" s="23">
        <v>229</v>
      </c>
      <c r="I289" s="24">
        <v>30</v>
      </c>
      <c r="J289" s="25">
        <f t="shared" si="5"/>
        <v>6870</v>
      </c>
      <c r="K289" t="str">
        <f t="shared" si="6"/>
        <v>SI</v>
      </c>
    </row>
    <row r="290" spans="1:11" x14ac:dyDescent="0.35">
      <c r="A290" s="33">
        <v>43331</v>
      </c>
      <c r="B290" s="22" t="s">
        <v>89</v>
      </c>
      <c r="C290" s="22" t="s">
        <v>58</v>
      </c>
      <c r="D290" s="22" t="s">
        <v>90</v>
      </c>
      <c r="E290" s="22" t="s">
        <v>50</v>
      </c>
      <c r="F290" s="22" t="s">
        <v>81</v>
      </c>
      <c r="G290" s="22" t="s">
        <v>52</v>
      </c>
      <c r="H290" s="23">
        <v>169</v>
      </c>
      <c r="I290" s="24">
        <v>6</v>
      </c>
      <c r="J290" s="25">
        <f t="shared" si="5"/>
        <v>1014</v>
      </c>
      <c r="K290" t="str">
        <f t="shared" si="6"/>
        <v>SI</v>
      </c>
    </row>
    <row r="291" spans="1:11" x14ac:dyDescent="0.35">
      <c r="A291" s="33">
        <v>43331</v>
      </c>
      <c r="B291" s="22" t="s">
        <v>91</v>
      </c>
      <c r="C291" s="22" t="s">
        <v>64</v>
      </c>
      <c r="D291" s="22" t="s">
        <v>92</v>
      </c>
      <c r="E291" s="22" t="s">
        <v>55</v>
      </c>
      <c r="F291" s="22" t="s">
        <v>56</v>
      </c>
      <c r="G291" s="22" t="s">
        <v>52</v>
      </c>
      <c r="H291" s="23">
        <v>129</v>
      </c>
      <c r="I291" s="24">
        <v>40</v>
      </c>
      <c r="J291" s="25">
        <f t="shared" si="5"/>
        <v>5160</v>
      </c>
      <c r="K291" t="str">
        <f t="shared" si="6"/>
        <v>SI</v>
      </c>
    </row>
    <row r="292" spans="1:11" x14ac:dyDescent="0.35">
      <c r="A292" s="33">
        <v>43331</v>
      </c>
      <c r="B292" s="22" t="s">
        <v>95</v>
      </c>
      <c r="C292" s="22" t="s">
        <v>64</v>
      </c>
      <c r="D292" s="22" t="s">
        <v>87</v>
      </c>
      <c r="E292" s="22" t="s">
        <v>67</v>
      </c>
      <c r="F292" s="22" t="s">
        <v>88</v>
      </c>
      <c r="G292" s="22" t="s">
        <v>57</v>
      </c>
      <c r="H292" s="23">
        <v>99</v>
      </c>
      <c r="I292" s="24">
        <v>30</v>
      </c>
      <c r="J292" s="25">
        <f t="shared" si="5"/>
        <v>2970</v>
      </c>
      <c r="K292" t="str">
        <f t="shared" si="6"/>
        <v>SI</v>
      </c>
    </row>
    <row r="293" spans="1:11" x14ac:dyDescent="0.35">
      <c r="A293" s="33">
        <v>43331</v>
      </c>
      <c r="B293" s="22" t="s">
        <v>95</v>
      </c>
      <c r="C293" s="22" t="s">
        <v>71</v>
      </c>
      <c r="D293" s="22" t="s">
        <v>87</v>
      </c>
      <c r="E293" s="22" t="s">
        <v>67</v>
      </c>
      <c r="F293" s="22" t="s">
        <v>88</v>
      </c>
      <c r="G293" s="22" t="s">
        <v>52</v>
      </c>
      <c r="H293" s="23">
        <v>99</v>
      </c>
      <c r="I293" s="24">
        <v>10</v>
      </c>
      <c r="J293" s="25">
        <f t="shared" si="5"/>
        <v>990</v>
      </c>
      <c r="K293" t="str">
        <f t="shared" si="6"/>
        <v>SI</v>
      </c>
    </row>
    <row r="294" spans="1:11" x14ac:dyDescent="0.35">
      <c r="A294" s="33">
        <v>43331</v>
      </c>
      <c r="B294" s="22" t="s">
        <v>94</v>
      </c>
      <c r="C294" s="22" t="s">
        <v>101</v>
      </c>
      <c r="D294" s="22" t="s">
        <v>87</v>
      </c>
      <c r="E294" s="22" t="s">
        <v>62</v>
      </c>
      <c r="F294" s="22" t="s">
        <v>63</v>
      </c>
      <c r="G294" s="22" t="s">
        <v>52</v>
      </c>
      <c r="H294" s="23">
        <v>99</v>
      </c>
      <c r="I294" s="24">
        <v>36</v>
      </c>
      <c r="J294" s="25">
        <f t="shared" si="5"/>
        <v>3564</v>
      </c>
      <c r="K294" t="str">
        <f t="shared" si="6"/>
        <v>SI</v>
      </c>
    </row>
    <row r="295" spans="1:11" x14ac:dyDescent="0.35">
      <c r="A295" s="33">
        <v>43331</v>
      </c>
      <c r="B295" s="22" t="s">
        <v>96</v>
      </c>
      <c r="C295" s="22" t="s">
        <v>64</v>
      </c>
      <c r="D295" s="22" t="s">
        <v>92</v>
      </c>
      <c r="E295" s="22" t="s">
        <v>62</v>
      </c>
      <c r="F295" s="22" t="s">
        <v>63</v>
      </c>
      <c r="G295" s="22" t="s">
        <v>52</v>
      </c>
      <c r="H295" s="23">
        <v>89</v>
      </c>
      <c r="I295" s="24">
        <v>12</v>
      </c>
      <c r="J295" s="25">
        <f t="shared" si="5"/>
        <v>1068</v>
      </c>
      <c r="K295" t="str">
        <f t="shared" si="6"/>
        <v>SI</v>
      </c>
    </row>
    <row r="296" spans="1:11" x14ac:dyDescent="0.35">
      <c r="A296" s="33">
        <v>43332</v>
      </c>
      <c r="B296" s="22" t="s">
        <v>47</v>
      </c>
      <c r="C296" s="22" t="s">
        <v>69</v>
      </c>
      <c r="D296" s="22" t="s">
        <v>49</v>
      </c>
      <c r="E296" s="22" t="s">
        <v>59</v>
      </c>
      <c r="F296" s="22" t="s">
        <v>99</v>
      </c>
      <c r="G296" s="22" t="s">
        <v>57</v>
      </c>
      <c r="H296" s="23">
        <v>2309</v>
      </c>
      <c r="I296" s="24">
        <v>25</v>
      </c>
      <c r="J296" s="25">
        <f t="shared" si="5"/>
        <v>57725</v>
      </c>
      <c r="K296" t="str">
        <f t="shared" si="6"/>
        <v>SI</v>
      </c>
    </row>
    <row r="297" spans="1:11" x14ac:dyDescent="0.35">
      <c r="A297" s="33">
        <v>43332</v>
      </c>
      <c r="B297" s="22" t="s">
        <v>47</v>
      </c>
      <c r="C297" s="22" t="s">
        <v>48</v>
      </c>
      <c r="D297" s="22" t="s">
        <v>49</v>
      </c>
      <c r="E297" s="22" t="s">
        <v>62</v>
      </c>
      <c r="F297" s="22" t="s">
        <v>63</v>
      </c>
      <c r="G297" s="22" t="s">
        <v>52</v>
      </c>
      <c r="H297" s="23">
        <v>2279</v>
      </c>
      <c r="I297" s="24">
        <v>24</v>
      </c>
      <c r="J297" s="25">
        <f t="shared" si="5"/>
        <v>54696</v>
      </c>
      <c r="K297" t="str">
        <f t="shared" si="6"/>
        <v>SI</v>
      </c>
    </row>
    <row r="298" spans="1:11" x14ac:dyDescent="0.35">
      <c r="A298" s="33">
        <v>43332</v>
      </c>
      <c r="B298" s="22" t="s">
        <v>47</v>
      </c>
      <c r="C298" s="22" t="s">
        <v>48</v>
      </c>
      <c r="D298" s="22" t="s">
        <v>49</v>
      </c>
      <c r="E298" s="22" t="s">
        <v>50</v>
      </c>
      <c r="F298" s="22" t="s">
        <v>51</v>
      </c>
      <c r="G298" s="22" t="s">
        <v>57</v>
      </c>
      <c r="H298" s="23">
        <v>2279</v>
      </c>
      <c r="I298" s="24">
        <v>45</v>
      </c>
      <c r="J298" s="25">
        <f t="shared" si="5"/>
        <v>102555</v>
      </c>
      <c r="K298" t="str">
        <f t="shared" si="6"/>
        <v>SI</v>
      </c>
    </row>
    <row r="299" spans="1:11" x14ac:dyDescent="0.35">
      <c r="A299" s="33">
        <v>43332</v>
      </c>
      <c r="B299" s="22" t="s">
        <v>47</v>
      </c>
      <c r="C299" s="22" t="s">
        <v>48</v>
      </c>
      <c r="D299" s="22" t="s">
        <v>49</v>
      </c>
      <c r="E299" s="22" t="s">
        <v>50</v>
      </c>
      <c r="F299" s="22" t="s">
        <v>81</v>
      </c>
      <c r="G299" s="22" t="s">
        <v>57</v>
      </c>
      <c r="H299" s="23">
        <v>1599</v>
      </c>
      <c r="I299" s="24">
        <v>2</v>
      </c>
      <c r="J299" s="25">
        <f t="shared" si="5"/>
        <v>3198</v>
      </c>
      <c r="K299" t="str">
        <f t="shared" si="6"/>
        <v>SI</v>
      </c>
    </row>
    <row r="300" spans="1:11" x14ac:dyDescent="0.35">
      <c r="A300" s="33">
        <v>43332</v>
      </c>
      <c r="B300" s="22" t="s">
        <v>53</v>
      </c>
      <c r="C300" s="22" t="s">
        <v>58</v>
      </c>
      <c r="D300" s="22" t="s">
        <v>49</v>
      </c>
      <c r="E300" s="22" t="s">
        <v>55</v>
      </c>
      <c r="F300" s="22" t="s">
        <v>65</v>
      </c>
      <c r="G300" s="22" t="s">
        <v>52</v>
      </c>
      <c r="H300" s="23">
        <v>1579</v>
      </c>
      <c r="I300" s="24">
        <v>7</v>
      </c>
      <c r="J300" s="25">
        <f t="shared" si="5"/>
        <v>11053</v>
      </c>
      <c r="K300" t="str">
        <f t="shared" si="6"/>
        <v>SI</v>
      </c>
    </row>
    <row r="301" spans="1:11" x14ac:dyDescent="0.35">
      <c r="A301" s="33">
        <v>43332</v>
      </c>
      <c r="B301" s="22" t="s">
        <v>53</v>
      </c>
      <c r="C301" s="22" t="s">
        <v>58</v>
      </c>
      <c r="D301" s="22" t="s">
        <v>49</v>
      </c>
      <c r="E301" s="22" t="s">
        <v>59</v>
      </c>
      <c r="F301" s="22" t="s">
        <v>78</v>
      </c>
      <c r="G301" s="22" t="s">
        <v>57</v>
      </c>
      <c r="H301" s="23">
        <v>1579</v>
      </c>
      <c r="I301" s="24">
        <v>10</v>
      </c>
      <c r="J301" s="25">
        <f t="shared" si="5"/>
        <v>15790</v>
      </c>
      <c r="K301" t="str">
        <f t="shared" si="6"/>
        <v>SI</v>
      </c>
    </row>
    <row r="302" spans="1:11" x14ac:dyDescent="0.35">
      <c r="A302" s="33">
        <v>43332</v>
      </c>
      <c r="B302" s="22" t="s">
        <v>66</v>
      </c>
      <c r="C302" s="22" t="s">
        <v>93</v>
      </c>
      <c r="D302" s="22" t="s">
        <v>49</v>
      </c>
      <c r="E302" s="22" t="s">
        <v>55</v>
      </c>
      <c r="F302" s="22" t="s">
        <v>65</v>
      </c>
      <c r="G302" s="22" t="s">
        <v>57</v>
      </c>
      <c r="H302" s="23">
        <v>1429</v>
      </c>
      <c r="I302" s="24">
        <v>6</v>
      </c>
      <c r="J302" s="25">
        <f t="shared" si="5"/>
        <v>8574</v>
      </c>
      <c r="K302" t="str">
        <f t="shared" si="6"/>
        <v>SI</v>
      </c>
    </row>
    <row r="303" spans="1:11" x14ac:dyDescent="0.35">
      <c r="A303" s="33">
        <v>43332</v>
      </c>
      <c r="B303" s="22" t="s">
        <v>61</v>
      </c>
      <c r="C303" s="22" t="s">
        <v>64</v>
      </c>
      <c r="D303" s="22" t="s">
        <v>49</v>
      </c>
      <c r="E303" s="22" t="s">
        <v>62</v>
      </c>
      <c r="F303" s="22" t="s">
        <v>63</v>
      </c>
      <c r="G303" s="22" t="s">
        <v>57</v>
      </c>
      <c r="H303" s="23">
        <v>1399</v>
      </c>
      <c r="I303" s="24">
        <v>6</v>
      </c>
      <c r="J303" s="25">
        <f t="shared" si="5"/>
        <v>8394</v>
      </c>
      <c r="K303" t="str">
        <f t="shared" si="6"/>
        <v>SI</v>
      </c>
    </row>
    <row r="304" spans="1:11" x14ac:dyDescent="0.35">
      <c r="A304" s="33">
        <v>43332</v>
      </c>
      <c r="B304" s="22" t="s">
        <v>53</v>
      </c>
      <c r="C304" s="22" t="s">
        <v>48</v>
      </c>
      <c r="D304" s="22" t="s">
        <v>49</v>
      </c>
      <c r="E304" s="22" t="s">
        <v>55</v>
      </c>
      <c r="F304" s="22" t="s">
        <v>56</v>
      </c>
      <c r="G304" s="22" t="s">
        <v>57</v>
      </c>
      <c r="H304" s="23">
        <v>1269</v>
      </c>
      <c r="I304" s="24">
        <v>40</v>
      </c>
      <c r="J304" s="25">
        <f t="shared" si="5"/>
        <v>50760</v>
      </c>
      <c r="K304" t="str">
        <f t="shared" si="6"/>
        <v>SI</v>
      </c>
    </row>
    <row r="305" spans="1:11" x14ac:dyDescent="0.35">
      <c r="A305" s="33">
        <v>43332</v>
      </c>
      <c r="B305" s="22" t="s">
        <v>53</v>
      </c>
      <c r="C305" s="22" t="s">
        <v>54</v>
      </c>
      <c r="D305" s="22" t="s">
        <v>49</v>
      </c>
      <c r="E305" s="22" t="s">
        <v>72</v>
      </c>
      <c r="F305" s="22" t="s">
        <v>73</v>
      </c>
      <c r="G305" s="22" t="s">
        <v>52</v>
      </c>
      <c r="H305" s="23">
        <v>1269</v>
      </c>
      <c r="I305" s="24">
        <v>6</v>
      </c>
      <c r="J305" s="25">
        <f t="shared" si="5"/>
        <v>7614</v>
      </c>
      <c r="K305" t="str">
        <f t="shared" si="6"/>
        <v>SI</v>
      </c>
    </row>
    <row r="306" spans="1:11" x14ac:dyDescent="0.35">
      <c r="A306" s="33">
        <v>43332</v>
      </c>
      <c r="B306" s="22" t="s">
        <v>53</v>
      </c>
      <c r="C306" s="22" t="s">
        <v>97</v>
      </c>
      <c r="D306" s="22" t="s">
        <v>49</v>
      </c>
      <c r="E306" s="22" t="s">
        <v>72</v>
      </c>
      <c r="F306" s="22" t="s">
        <v>75</v>
      </c>
      <c r="G306" s="22" t="s">
        <v>52</v>
      </c>
      <c r="H306" s="23">
        <v>1269</v>
      </c>
      <c r="I306" s="24">
        <v>30</v>
      </c>
      <c r="J306" s="25">
        <f t="shared" si="5"/>
        <v>38070</v>
      </c>
      <c r="K306" t="str">
        <f t="shared" si="6"/>
        <v>SI</v>
      </c>
    </row>
    <row r="307" spans="1:11" x14ac:dyDescent="0.35">
      <c r="A307" s="33">
        <v>43332</v>
      </c>
      <c r="B307" s="22" t="s">
        <v>66</v>
      </c>
      <c r="C307" s="22" t="s">
        <v>48</v>
      </c>
      <c r="D307" s="22" t="s">
        <v>49</v>
      </c>
      <c r="E307" s="22" t="s">
        <v>72</v>
      </c>
      <c r="F307" s="22" t="s">
        <v>75</v>
      </c>
      <c r="G307" s="22" t="s">
        <v>57</v>
      </c>
      <c r="H307" s="23">
        <v>1259</v>
      </c>
      <c r="I307" s="24">
        <v>30</v>
      </c>
      <c r="J307" s="25">
        <f t="shared" si="5"/>
        <v>37770</v>
      </c>
      <c r="K307" t="str">
        <f t="shared" si="6"/>
        <v>SI</v>
      </c>
    </row>
    <row r="308" spans="1:11" x14ac:dyDescent="0.35">
      <c r="A308" s="33">
        <v>43332</v>
      </c>
      <c r="B308" s="22" t="s">
        <v>61</v>
      </c>
      <c r="C308" s="22" t="s">
        <v>69</v>
      </c>
      <c r="D308" s="22" t="s">
        <v>49</v>
      </c>
      <c r="E308" s="22" t="s">
        <v>62</v>
      </c>
      <c r="F308" s="22" t="s">
        <v>63</v>
      </c>
      <c r="G308" s="22" t="s">
        <v>52</v>
      </c>
      <c r="H308" s="23">
        <v>1249</v>
      </c>
      <c r="I308" s="24">
        <v>24</v>
      </c>
      <c r="J308" s="25">
        <f t="shared" si="5"/>
        <v>29976</v>
      </c>
      <c r="K308" t="str">
        <f t="shared" si="6"/>
        <v>SI</v>
      </c>
    </row>
    <row r="309" spans="1:11" x14ac:dyDescent="0.35">
      <c r="A309" s="33">
        <v>43332</v>
      </c>
      <c r="B309" s="22" t="s">
        <v>61</v>
      </c>
      <c r="C309" s="22" t="s">
        <v>64</v>
      </c>
      <c r="D309" s="22" t="s">
        <v>49</v>
      </c>
      <c r="E309" s="22" t="s">
        <v>50</v>
      </c>
      <c r="F309" s="22" t="s">
        <v>85</v>
      </c>
      <c r="G309" s="22" t="s">
        <v>57</v>
      </c>
      <c r="H309" s="23">
        <v>1249</v>
      </c>
      <c r="I309" s="24">
        <v>6</v>
      </c>
      <c r="J309" s="25">
        <f t="shared" si="5"/>
        <v>7494</v>
      </c>
      <c r="K309" t="str">
        <f t="shared" si="6"/>
        <v>SI</v>
      </c>
    </row>
    <row r="310" spans="1:11" x14ac:dyDescent="0.35">
      <c r="A310" s="33">
        <v>43332</v>
      </c>
      <c r="B310" s="22" t="s">
        <v>74</v>
      </c>
      <c r="C310" s="22" t="s">
        <v>54</v>
      </c>
      <c r="D310" s="22" t="s">
        <v>49</v>
      </c>
      <c r="E310" s="22" t="s">
        <v>50</v>
      </c>
      <c r="F310" s="22" t="s">
        <v>85</v>
      </c>
      <c r="G310" s="22" t="s">
        <v>52</v>
      </c>
      <c r="H310" s="23">
        <v>1169</v>
      </c>
      <c r="I310" s="24">
        <v>40</v>
      </c>
      <c r="J310" s="25">
        <f t="shared" si="5"/>
        <v>46760</v>
      </c>
      <c r="K310" t="str">
        <f t="shared" si="6"/>
        <v>SI</v>
      </c>
    </row>
    <row r="311" spans="1:11" x14ac:dyDescent="0.35">
      <c r="A311" s="33">
        <v>43332</v>
      </c>
      <c r="B311" s="22" t="s">
        <v>66</v>
      </c>
      <c r="C311" s="22" t="s">
        <v>97</v>
      </c>
      <c r="D311" s="22" t="s">
        <v>49</v>
      </c>
      <c r="E311" s="22" t="s">
        <v>67</v>
      </c>
      <c r="F311" s="22" t="s">
        <v>68</v>
      </c>
      <c r="G311" s="22" t="s">
        <v>57</v>
      </c>
      <c r="H311" s="23">
        <v>1069</v>
      </c>
      <c r="I311" s="24">
        <v>6</v>
      </c>
      <c r="J311" s="25">
        <f t="shared" si="5"/>
        <v>6414</v>
      </c>
      <c r="K311" t="str">
        <f t="shared" si="6"/>
        <v>SI</v>
      </c>
    </row>
    <row r="312" spans="1:11" x14ac:dyDescent="0.35">
      <c r="A312" s="33">
        <v>43332</v>
      </c>
      <c r="B312" s="22" t="s">
        <v>102</v>
      </c>
      <c r="C312" s="22" t="s">
        <v>101</v>
      </c>
      <c r="D312" s="22" t="s">
        <v>49</v>
      </c>
      <c r="E312" s="22" t="s">
        <v>59</v>
      </c>
      <c r="F312" s="22" t="s">
        <v>78</v>
      </c>
      <c r="G312" s="22" t="s">
        <v>57</v>
      </c>
      <c r="H312" s="23">
        <v>1049</v>
      </c>
      <c r="I312" s="24">
        <v>10</v>
      </c>
      <c r="J312" s="25">
        <f t="shared" si="5"/>
        <v>10490</v>
      </c>
      <c r="K312" t="str">
        <f t="shared" si="6"/>
        <v>SI</v>
      </c>
    </row>
    <row r="313" spans="1:11" x14ac:dyDescent="0.35">
      <c r="A313" s="33">
        <v>43332</v>
      </c>
      <c r="B313" s="22" t="s">
        <v>102</v>
      </c>
      <c r="C313" s="22" t="s">
        <v>48</v>
      </c>
      <c r="D313" s="22" t="s">
        <v>49</v>
      </c>
      <c r="E313" s="22" t="s">
        <v>50</v>
      </c>
      <c r="F313" s="22" t="s">
        <v>85</v>
      </c>
      <c r="G313" s="22" t="s">
        <v>57</v>
      </c>
      <c r="H313" s="23">
        <v>1049</v>
      </c>
      <c r="I313" s="24">
        <v>35</v>
      </c>
      <c r="J313" s="25">
        <f t="shared" si="5"/>
        <v>36715</v>
      </c>
      <c r="K313" t="str">
        <f t="shared" si="6"/>
        <v>SI</v>
      </c>
    </row>
    <row r="314" spans="1:11" x14ac:dyDescent="0.35">
      <c r="A314" s="33">
        <v>43332</v>
      </c>
      <c r="B314" s="22" t="s">
        <v>100</v>
      </c>
      <c r="C314" s="22" t="s">
        <v>64</v>
      </c>
      <c r="D314" s="22" t="s">
        <v>49</v>
      </c>
      <c r="E314" s="22" t="s">
        <v>55</v>
      </c>
      <c r="F314" s="22" t="s">
        <v>56</v>
      </c>
      <c r="G314" s="22" t="s">
        <v>57</v>
      </c>
      <c r="H314" s="23">
        <v>1029</v>
      </c>
      <c r="I314" s="24">
        <v>24</v>
      </c>
      <c r="J314" s="25">
        <f t="shared" si="5"/>
        <v>24696</v>
      </c>
      <c r="K314" t="str">
        <f t="shared" si="6"/>
        <v>SI</v>
      </c>
    </row>
    <row r="315" spans="1:11" x14ac:dyDescent="0.35">
      <c r="A315" s="33">
        <v>43332</v>
      </c>
      <c r="B315" s="22" t="s">
        <v>100</v>
      </c>
      <c r="C315" s="22" t="s">
        <v>71</v>
      </c>
      <c r="D315" s="22" t="s">
        <v>49</v>
      </c>
      <c r="E315" s="22" t="s">
        <v>59</v>
      </c>
      <c r="F315" s="22" t="s">
        <v>99</v>
      </c>
      <c r="G315" s="22" t="s">
        <v>57</v>
      </c>
      <c r="H315" s="23">
        <v>1029</v>
      </c>
      <c r="I315" s="24">
        <v>10</v>
      </c>
      <c r="J315" s="25">
        <f t="shared" si="5"/>
        <v>10290</v>
      </c>
      <c r="K315" t="str">
        <f t="shared" si="6"/>
        <v>SI</v>
      </c>
    </row>
    <row r="316" spans="1:11" x14ac:dyDescent="0.35">
      <c r="A316" s="33">
        <v>43332</v>
      </c>
      <c r="B316" s="22" t="s">
        <v>76</v>
      </c>
      <c r="C316" s="22" t="s">
        <v>58</v>
      </c>
      <c r="D316" s="22" t="s">
        <v>77</v>
      </c>
      <c r="E316" s="22" t="s">
        <v>72</v>
      </c>
      <c r="F316" s="22" t="s">
        <v>73</v>
      </c>
      <c r="G316" s="22" t="s">
        <v>52</v>
      </c>
      <c r="H316" s="23">
        <v>1000</v>
      </c>
      <c r="I316" s="24">
        <v>35</v>
      </c>
      <c r="J316" s="25">
        <f t="shared" si="5"/>
        <v>35000</v>
      </c>
      <c r="K316" t="str">
        <f t="shared" si="6"/>
        <v>SI</v>
      </c>
    </row>
    <row r="317" spans="1:11" x14ac:dyDescent="0.35">
      <c r="A317" s="33">
        <v>43332</v>
      </c>
      <c r="B317" s="22" t="s">
        <v>80</v>
      </c>
      <c r="C317" s="22" t="s">
        <v>58</v>
      </c>
      <c r="D317" s="22" t="s">
        <v>77</v>
      </c>
      <c r="E317" s="22" t="s">
        <v>62</v>
      </c>
      <c r="F317" s="22" t="s">
        <v>63</v>
      </c>
      <c r="G317" s="22" t="s">
        <v>52</v>
      </c>
      <c r="H317" s="23">
        <v>999</v>
      </c>
      <c r="I317" s="24">
        <v>25</v>
      </c>
      <c r="J317" s="25">
        <f t="shared" si="5"/>
        <v>24975</v>
      </c>
      <c r="K317" t="str">
        <f t="shared" si="6"/>
        <v>SI</v>
      </c>
    </row>
    <row r="318" spans="1:11" x14ac:dyDescent="0.35">
      <c r="A318" s="33">
        <v>43332</v>
      </c>
      <c r="B318" s="22" t="s">
        <v>80</v>
      </c>
      <c r="C318" s="22" t="s">
        <v>58</v>
      </c>
      <c r="D318" s="22" t="s">
        <v>77</v>
      </c>
      <c r="E318" s="22" t="s">
        <v>72</v>
      </c>
      <c r="F318" s="22" t="s">
        <v>75</v>
      </c>
      <c r="G318" s="22" t="s">
        <v>57</v>
      </c>
      <c r="H318" s="23">
        <v>999</v>
      </c>
      <c r="I318" s="24">
        <v>10</v>
      </c>
      <c r="J318" s="25">
        <f t="shared" si="5"/>
        <v>9990</v>
      </c>
      <c r="K318" t="str">
        <f t="shared" si="6"/>
        <v>SI</v>
      </c>
    </row>
    <row r="319" spans="1:11" x14ac:dyDescent="0.35">
      <c r="A319" s="33">
        <v>43332</v>
      </c>
      <c r="B319" s="22" t="s">
        <v>107</v>
      </c>
      <c r="C319" s="22" t="s">
        <v>64</v>
      </c>
      <c r="D319" s="22" t="s">
        <v>108</v>
      </c>
      <c r="E319" s="22" t="s">
        <v>62</v>
      </c>
      <c r="F319" s="22" t="s">
        <v>63</v>
      </c>
      <c r="G319" s="22" t="s">
        <v>57</v>
      </c>
      <c r="H319" s="23">
        <v>899</v>
      </c>
      <c r="I319" s="24">
        <v>2</v>
      </c>
      <c r="J319" s="25">
        <f t="shared" si="5"/>
        <v>1798</v>
      </c>
      <c r="K319" t="str">
        <f t="shared" si="6"/>
        <v>SI</v>
      </c>
    </row>
    <row r="320" spans="1:11" x14ac:dyDescent="0.35">
      <c r="A320" s="33">
        <v>43332</v>
      </c>
      <c r="B320" s="22" t="s">
        <v>100</v>
      </c>
      <c r="C320" s="22" t="s">
        <v>64</v>
      </c>
      <c r="D320" s="22" t="s">
        <v>49</v>
      </c>
      <c r="E320" s="22" t="s">
        <v>55</v>
      </c>
      <c r="F320" s="22" t="s">
        <v>84</v>
      </c>
      <c r="G320" s="22" t="s">
        <v>52</v>
      </c>
      <c r="H320" s="23">
        <v>869</v>
      </c>
      <c r="I320" s="24">
        <v>10</v>
      </c>
      <c r="J320" s="25">
        <f t="shared" si="5"/>
        <v>8690</v>
      </c>
      <c r="K320" t="str">
        <f t="shared" si="6"/>
        <v>SI</v>
      </c>
    </row>
    <row r="321" spans="1:11" x14ac:dyDescent="0.35">
      <c r="A321" s="33">
        <v>43332</v>
      </c>
      <c r="B321" s="22" t="s">
        <v>113</v>
      </c>
      <c r="C321" s="22" t="s">
        <v>54</v>
      </c>
      <c r="D321" s="22" t="s">
        <v>77</v>
      </c>
      <c r="E321" s="22" t="s">
        <v>72</v>
      </c>
      <c r="F321" s="22" t="s">
        <v>73</v>
      </c>
      <c r="G321" s="22" t="s">
        <v>52</v>
      </c>
      <c r="H321" s="23">
        <v>685</v>
      </c>
      <c r="I321" s="24">
        <v>45</v>
      </c>
      <c r="J321" s="25">
        <f t="shared" si="5"/>
        <v>30825</v>
      </c>
      <c r="K321" t="str">
        <f t="shared" si="6"/>
        <v>SI</v>
      </c>
    </row>
    <row r="322" spans="1:11" x14ac:dyDescent="0.35">
      <c r="A322" s="33">
        <v>43332</v>
      </c>
      <c r="B322" s="22" t="s">
        <v>82</v>
      </c>
      <c r="C322" s="22" t="s">
        <v>69</v>
      </c>
      <c r="D322" s="22" t="s">
        <v>77</v>
      </c>
      <c r="E322" s="22" t="s">
        <v>59</v>
      </c>
      <c r="F322" s="22" t="s">
        <v>78</v>
      </c>
      <c r="G322" s="22" t="s">
        <v>57</v>
      </c>
      <c r="H322" s="23">
        <v>329</v>
      </c>
      <c r="I322" s="24">
        <v>10</v>
      </c>
      <c r="J322" s="25">
        <f t="shared" si="5"/>
        <v>3290</v>
      </c>
      <c r="K322" t="str">
        <f t="shared" si="6"/>
        <v>SI</v>
      </c>
    </row>
    <row r="323" spans="1:11" x14ac:dyDescent="0.35">
      <c r="A323" s="33">
        <v>43332</v>
      </c>
      <c r="B323" s="22" t="s">
        <v>82</v>
      </c>
      <c r="C323" s="22" t="s">
        <v>54</v>
      </c>
      <c r="D323" s="22" t="s">
        <v>77</v>
      </c>
      <c r="E323" s="22" t="s">
        <v>72</v>
      </c>
      <c r="F323" s="22" t="s">
        <v>73</v>
      </c>
      <c r="G323" s="22" t="s">
        <v>52</v>
      </c>
      <c r="H323" s="23">
        <v>249</v>
      </c>
      <c r="I323" s="24">
        <v>45</v>
      </c>
      <c r="J323" s="25">
        <f t="shared" si="5"/>
        <v>11205</v>
      </c>
      <c r="K323" t="str">
        <f t="shared" ref="K323:K386" si="7">IF(H323*I323=J323,"SI","Error")</f>
        <v>SI</v>
      </c>
    </row>
    <row r="324" spans="1:11" x14ac:dyDescent="0.35">
      <c r="A324" s="33">
        <v>43332</v>
      </c>
      <c r="B324" s="22" t="s">
        <v>86</v>
      </c>
      <c r="C324" s="22" t="s">
        <v>58</v>
      </c>
      <c r="D324" s="22" t="s">
        <v>87</v>
      </c>
      <c r="E324" s="22" t="s">
        <v>55</v>
      </c>
      <c r="F324" s="22" t="s">
        <v>65</v>
      </c>
      <c r="G324" s="22" t="s">
        <v>52</v>
      </c>
      <c r="H324" s="23">
        <v>195</v>
      </c>
      <c r="I324" s="24">
        <v>10</v>
      </c>
      <c r="J324" s="25">
        <f t="shared" si="5"/>
        <v>1950</v>
      </c>
      <c r="K324" t="str">
        <f t="shared" si="7"/>
        <v>SI</v>
      </c>
    </row>
    <row r="325" spans="1:11" x14ac:dyDescent="0.35">
      <c r="A325" s="33">
        <v>43332</v>
      </c>
      <c r="B325" s="22" t="s">
        <v>86</v>
      </c>
      <c r="C325" s="22" t="s">
        <v>97</v>
      </c>
      <c r="D325" s="22" t="s">
        <v>87</v>
      </c>
      <c r="E325" s="22" t="s">
        <v>62</v>
      </c>
      <c r="F325" s="22" t="s">
        <v>63</v>
      </c>
      <c r="G325" s="22" t="s">
        <v>57</v>
      </c>
      <c r="H325" s="23">
        <v>195</v>
      </c>
      <c r="I325" s="24">
        <v>15</v>
      </c>
      <c r="J325" s="25">
        <f t="shared" si="5"/>
        <v>2925</v>
      </c>
      <c r="K325" t="str">
        <f t="shared" si="7"/>
        <v>SI</v>
      </c>
    </row>
    <row r="326" spans="1:11" x14ac:dyDescent="0.35">
      <c r="A326" s="33">
        <v>43332</v>
      </c>
      <c r="B326" s="22" t="s">
        <v>86</v>
      </c>
      <c r="C326" s="22" t="s">
        <v>58</v>
      </c>
      <c r="D326" s="22" t="s">
        <v>87</v>
      </c>
      <c r="E326" s="22" t="s">
        <v>50</v>
      </c>
      <c r="F326" s="22" t="s">
        <v>81</v>
      </c>
      <c r="G326" s="22" t="s">
        <v>52</v>
      </c>
      <c r="H326" s="23">
        <v>195</v>
      </c>
      <c r="I326" s="24">
        <v>22</v>
      </c>
      <c r="J326" s="25">
        <f t="shared" si="5"/>
        <v>4290</v>
      </c>
      <c r="K326" t="str">
        <f t="shared" si="7"/>
        <v>SI</v>
      </c>
    </row>
    <row r="327" spans="1:11" x14ac:dyDescent="0.35">
      <c r="A327" s="33">
        <v>43332</v>
      </c>
      <c r="B327" s="22" t="s">
        <v>91</v>
      </c>
      <c r="C327" s="22" t="s">
        <v>97</v>
      </c>
      <c r="D327" s="22" t="s">
        <v>92</v>
      </c>
      <c r="E327" s="22" t="s">
        <v>59</v>
      </c>
      <c r="F327" s="22" t="s">
        <v>99</v>
      </c>
      <c r="G327" s="22" t="s">
        <v>57</v>
      </c>
      <c r="H327" s="23">
        <v>139</v>
      </c>
      <c r="I327" s="24">
        <v>24</v>
      </c>
      <c r="J327" s="25">
        <f t="shared" si="5"/>
        <v>3336</v>
      </c>
      <c r="K327" t="str">
        <f t="shared" si="7"/>
        <v>SI</v>
      </c>
    </row>
    <row r="328" spans="1:11" x14ac:dyDescent="0.35">
      <c r="A328" s="33">
        <v>43332</v>
      </c>
      <c r="B328" s="22" t="s">
        <v>91</v>
      </c>
      <c r="C328" s="22" t="s">
        <v>64</v>
      </c>
      <c r="D328" s="22" t="s">
        <v>92</v>
      </c>
      <c r="E328" s="22" t="s">
        <v>59</v>
      </c>
      <c r="F328" s="22" t="s">
        <v>78</v>
      </c>
      <c r="G328" s="22" t="s">
        <v>57</v>
      </c>
      <c r="H328" s="23">
        <v>129</v>
      </c>
      <c r="I328" s="24">
        <v>7</v>
      </c>
      <c r="J328" s="25">
        <f t="shared" si="5"/>
        <v>903</v>
      </c>
      <c r="K328" t="str">
        <f t="shared" si="7"/>
        <v>SI</v>
      </c>
    </row>
    <row r="329" spans="1:11" x14ac:dyDescent="0.35">
      <c r="A329" s="33">
        <v>43332</v>
      </c>
      <c r="B329" s="22" t="s">
        <v>89</v>
      </c>
      <c r="C329" s="22" t="s">
        <v>97</v>
      </c>
      <c r="D329" s="22" t="s">
        <v>90</v>
      </c>
      <c r="E329" s="22" t="s">
        <v>67</v>
      </c>
      <c r="F329" s="22" t="s">
        <v>88</v>
      </c>
      <c r="G329" s="22" t="s">
        <v>52</v>
      </c>
      <c r="H329" s="23">
        <v>119</v>
      </c>
      <c r="I329" s="24">
        <v>30</v>
      </c>
      <c r="J329" s="25">
        <f t="shared" si="5"/>
        <v>3570</v>
      </c>
      <c r="K329" t="str">
        <f t="shared" si="7"/>
        <v>SI</v>
      </c>
    </row>
    <row r="330" spans="1:11" x14ac:dyDescent="0.35">
      <c r="A330" s="33">
        <v>43332</v>
      </c>
      <c r="B330" s="22" t="s">
        <v>89</v>
      </c>
      <c r="C330" s="22" t="s">
        <v>58</v>
      </c>
      <c r="D330" s="22" t="s">
        <v>90</v>
      </c>
      <c r="E330" s="22" t="s">
        <v>59</v>
      </c>
      <c r="F330" s="22" t="s">
        <v>60</v>
      </c>
      <c r="G330" s="22" t="s">
        <v>57</v>
      </c>
      <c r="H330" s="23">
        <v>119</v>
      </c>
      <c r="I330" s="24">
        <v>4</v>
      </c>
      <c r="J330" s="25">
        <f t="shared" si="5"/>
        <v>476</v>
      </c>
      <c r="K330" t="str">
        <f t="shared" si="7"/>
        <v>SI</v>
      </c>
    </row>
    <row r="331" spans="1:11" x14ac:dyDescent="0.35">
      <c r="A331" s="33">
        <v>43332</v>
      </c>
      <c r="B331" s="22" t="s">
        <v>94</v>
      </c>
      <c r="C331" s="22" t="s">
        <v>69</v>
      </c>
      <c r="D331" s="22" t="s">
        <v>87</v>
      </c>
      <c r="E331" s="22" t="s">
        <v>55</v>
      </c>
      <c r="F331" s="22" t="s">
        <v>65</v>
      </c>
      <c r="G331" s="22" t="s">
        <v>57</v>
      </c>
      <c r="H331" s="23">
        <v>99</v>
      </c>
      <c r="I331" s="24">
        <v>30</v>
      </c>
      <c r="J331" s="25">
        <f t="shared" si="5"/>
        <v>2970</v>
      </c>
      <c r="K331" t="str">
        <f t="shared" si="7"/>
        <v>SI</v>
      </c>
    </row>
    <row r="332" spans="1:11" x14ac:dyDescent="0.35">
      <c r="A332" s="33">
        <v>43332</v>
      </c>
      <c r="B332" s="22" t="s">
        <v>95</v>
      </c>
      <c r="C332" s="22" t="s">
        <v>69</v>
      </c>
      <c r="D332" s="22" t="s">
        <v>87</v>
      </c>
      <c r="E332" s="22" t="s">
        <v>62</v>
      </c>
      <c r="F332" s="22" t="s">
        <v>63</v>
      </c>
      <c r="G332" s="22" t="s">
        <v>52</v>
      </c>
      <c r="H332" s="23">
        <v>99</v>
      </c>
      <c r="I332" s="24">
        <v>5</v>
      </c>
      <c r="J332" s="25">
        <f t="shared" si="5"/>
        <v>495</v>
      </c>
      <c r="K332" t="str">
        <f t="shared" si="7"/>
        <v>SI</v>
      </c>
    </row>
    <row r="333" spans="1:11" x14ac:dyDescent="0.35">
      <c r="A333" s="33">
        <v>43332</v>
      </c>
      <c r="B333" s="22" t="s">
        <v>95</v>
      </c>
      <c r="C333" s="22" t="s">
        <v>64</v>
      </c>
      <c r="D333" s="22" t="s">
        <v>87</v>
      </c>
      <c r="E333" s="22" t="s">
        <v>50</v>
      </c>
      <c r="F333" s="22" t="s">
        <v>81</v>
      </c>
      <c r="G333" s="22" t="s">
        <v>57</v>
      </c>
      <c r="H333" s="23">
        <v>99</v>
      </c>
      <c r="I333" s="24">
        <v>35</v>
      </c>
      <c r="J333" s="25">
        <f t="shared" si="5"/>
        <v>3465</v>
      </c>
      <c r="K333" t="str">
        <f t="shared" si="7"/>
        <v>SI</v>
      </c>
    </row>
    <row r="334" spans="1:11" x14ac:dyDescent="0.35">
      <c r="A334" s="33">
        <v>43332</v>
      </c>
      <c r="B334" s="22" t="s">
        <v>95</v>
      </c>
      <c r="C334" s="22" t="s">
        <v>58</v>
      </c>
      <c r="D334" s="22" t="s">
        <v>87</v>
      </c>
      <c r="E334" s="22" t="s">
        <v>67</v>
      </c>
      <c r="F334" s="22" t="s">
        <v>88</v>
      </c>
      <c r="G334" s="22" t="s">
        <v>52</v>
      </c>
      <c r="H334" s="23">
        <v>75</v>
      </c>
      <c r="I334" s="24">
        <v>40</v>
      </c>
      <c r="J334" s="25">
        <f t="shared" si="5"/>
        <v>3000</v>
      </c>
      <c r="K334" t="str">
        <f t="shared" si="7"/>
        <v>SI</v>
      </c>
    </row>
    <row r="335" spans="1:11" x14ac:dyDescent="0.35">
      <c r="A335" s="33">
        <v>43332</v>
      </c>
      <c r="B335" s="22" t="s">
        <v>95</v>
      </c>
      <c r="C335" s="22" t="s">
        <v>64</v>
      </c>
      <c r="D335" s="22" t="s">
        <v>87</v>
      </c>
      <c r="E335" s="22" t="s">
        <v>62</v>
      </c>
      <c r="F335" s="22" t="s">
        <v>63</v>
      </c>
      <c r="G335" s="22" t="s">
        <v>57</v>
      </c>
      <c r="H335" s="23">
        <v>75</v>
      </c>
      <c r="I335" s="24">
        <v>10</v>
      </c>
      <c r="J335" s="25">
        <f t="shared" si="5"/>
        <v>750</v>
      </c>
      <c r="K335" t="str">
        <f t="shared" si="7"/>
        <v>SI</v>
      </c>
    </row>
    <row r="336" spans="1:11" x14ac:dyDescent="0.35">
      <c r="A336" s="33">
        <v>43332</v>
      </c>
      <c r="B336" s="22" t="s">
        <v>95</v>
      </c>
      <c r="C336" s="22" t="s">
        <v>48</v>
      </c>
      <c r="D336" s="22" t="s">
        <v>87</v>
      </c>
      <c r="E336" s="22" t="s">
        <v>62</v>
      </c>
      <c r="F336" s="22" t="s">
        <v>63</v>
      </c>
      <c r="G336" s="22" t="s">
        <v>57</v>
      </c>
      <c r="H336" s="23">
        <v>75</v>
      </c>
      <c r="I336" s="24">
        <v>45</v>
      </c>
      <c r="J336" s="25">
        <f t="shared" si="5"/>
        <v>3375</v>
      </c>
      <c r="K336" t="str">
        <f t="shared" si="7"/>
        <v>SI</v>
      </c>
    </row>
    <row r="337" spans="1:11" x14ac:dyDescent="0.35">
      <c r="A337" s="33">
        <v>43332</v>
      </c>
      <c r="B337" s="22" t="s">
        <v>95</v>
      </c>
      <c r="C337" s="22" t="s">
        <v>58</v>
      </c>
      <c r="D337" s="22" t="s">
        <v>87</v>
      </c>
      <c r="E337" s="22" t="s">
        <v>72</v>
      </c>
      <c r="F337" s="22" t="s">
        <v>75</v>
      </c>
      <c r="G337" s="22" t="s">
        <v>57</v>
      </c>
      <c r="H337" s="23">
        <v>75</v>
      </c>
      <c r="I337" s="24">
        <v>35</v>
      </c>
      <c r="J337" s="25">
        <f t="shared" si="5"/>
        <v>2625</v>
      </c>
      <c r="K337" t="str">
        <f t="shared" si="7"/>
        <v>SI</v>
      </c>
    </row>
    <row r="338" spans="1:11" x14ac:dyDescent="0.35">
      <c r="A338" s="33">
        <v>43333</v>
      </c>
      <c r="B338" s="22" t="s">
        <v>47</v>
      </c>
      <c r="C338" s="22" t="s">
        <v>97</v>
      </c>
      <c r="D338" s="22" t="s">
        <v>49</v>
      </c>
      <c r="E338" s="22" t="s">
        <v>62</v>
      </c>
      <c r="F338" s="22" t="s">
        <v>63</v>
      </c>
      <c r="G338" s="22" t="s">
        <v>57</v>
      </c>
      <c r="H338" s="23">
        <v>2309</v>
      </c>
      <c r="I338" s="24">
        <v>25</v>
      </c>
      <c r="J338" s="25">
        <f t="shared" si="5"/>
        <v>57725</v>
      </c>
      <c r="K338" t="str">
        <f t="shared" si="7"/>
        <v>SI</v>
      </c>
    </row>
    <row r="339" spans="1:11" x14ac:dyDescent="0.35">
      <c r="A339" s="33">
        <v>43333</v>
      </c>
      <c r="B339" s="22" t="s">
        <v>47</v>
      </c>
      <c r="C339" s="22" t="s">
        <v>48</v>
      </c>
      <c r="D339" s="22" t="s">
        <v>49</v>
      </c>
      <c r="E339" s="22" t="s">
        <v>72</v>
      </c>
      <c r="F339" s="22" t="s">
        <v>73</v>
      </c>
      <c r="G339" s="22" t="s">
        <v>57</v>
      </c>
      <c r="H339" s="23">
        <v>2279</v>
      </c>
      <c r="I339" s="24">
        <v>6</v>
      </c>
      <c r="J339" s="25">
        <f t="shared" si="5"/>
        <v>13674</v>
      </c>
      <c r="K339" t="str">
        <f t="shared" si="7"/>
        <v>SI</v>
      </c>
    </row>
    <row r="340" spans="1:11" x14ac:dyDescent="0.35">
      <c r="A340" s="33">
        <v>43333</v>
      </c>
      <c r="B340" s="22" t="s">
        <v>53</v>
      </c>
      <c r="C340" s="22" t="s">
        <v>64</v>
      </c>
      <c r="D340" s="22" t="s">
        <v>49</v>
      </c>
      <c r="E340" s="22" t="s">
        <v>72</v>
      </c>
      <c r="F340" s="22" t="s">
        <v>73</v>
      </c>
      <c r="G340" s="22" t="s">
        <v>57</v>
      </c>
      <c r="H340" s="23">
        <v>1579</v>
      </c>
      <c r="I340" s="24">
        <v>30</v>
      </c>
      <c r="J340" s="25">
        <f t="shared" si="5"/>
        <v>47370</v>
      </c>
      <c r="K340" t="str">
        <f t="shared" si="7"/>
        <v>SI</v>
      </c>
    </row>
    <row r="341" spans="1:11" x14ac:dyDescent="0.35">
      <c r="A341" s="33">
        <v>43333</v>
      </c>
      <c r="B341" s="22" t="s">
        <v>66</v>
      </c>
      <c r="C341" s="22" t="s">
        <v>97</v>
      </c>
      <c r="D341" s="22" t="s">
        <v>49</v>
      </c>
      <c r="E341" s="22" t="s">
        <v>59</v>
      </c>
      <c r="F341" s="22" t="s">
        <v>60</v>
      </c>
      <c r="G341" s="22" t="s">
        <v>57</v>
      </c>
      <c r="H341" s="23">
        <v>1429</v>
      </c>
      <c r="I341" s="24">
        <v>7</v>
      </c>
      <c r="J341" s="25">
        <f t="shared" si="5"/>
        <v>10003</v>
      </c>
      <c r="K341" t="str">
        <f t="shared" si="7"/>
        <v>SI</v>
      </c>
    </row>
    <row r="342" spans="1:11" x14ac:dyDescent="0.35">
      <c r="A342" s="33">
        <v>43333</v>
      </c>
      <c r="B342" s="22" t="s">
        <v>66</v>
      </c>
      <c r="C342" s="22" t="s">
        <v>48</v>
      </c>
      <c r="D342" s="22" t="s">
        <v>49</v>
      </c>
      <c r="E342" s="22" t="s">
        <v>50</v>
      </c>
      <c r="F342" s="22" t="s">
        <v>81</v>
      </c>
      <c r="G342" s="22" t="s">
        <v>57</v>
      </c>
      <c r="H342" s="23">
        <v>1429</v>
      </c>
      <c r="I342" s="24">
        <v>9</v>
      </c>
      <c r="J342" s="25">
        <f t="shared" si="5"/>
        <v>12861</v>
      </c>
      <c r="K342" t="str">
        <f t="shared" si="7"/>
        <v>SI</v>
      </c>
    </row>
    <row r="343" spans="1:11" x14ac:dyDescent="0.35">
      <c r="A343" s="33">
        <v>43333</v>
      </c>
      <c r="B343" s="22" t="s">
        <v>53</v>
      </c>
      <c r="C343" s="22" t="s">
        <v>54</v>
      </c>
      <c r="D343" s="22" t="s">
        <v>49</v>
      </c>
      <c r="E343" s="22" t="s">
        <v>62</v>
      </c>
      <c r="F343" s="22" t="s">
        <v>79</v>
      </c>
      <c r="G343" s="22" t="s">
        <v>52</v>
      </c>
      <c r="H343" s="23">
        <v>1269</v>
      </c>
      <c r="I343" s="24">
        <v>30</v>
      </c>
      <c r="J343" s="25">
        <f t="shared" si="5"/>
        <v>38070</v>
      </c>
      <c r="K343" t="str">
        <f t="shared" si="7"/>
        <v>SI</v>
      </c>
    </row>
    <row r="344" spans="1:11" x14ac:dyDescent="0.35">
      <c r="A344" s="33">
        <v>43333</v>
      </c>
      <c r="B344" s="22" t="s">
        <v>53</v>
      </c>
      <c r="C344" s="22" t="s">
        <v>54</v>
      </c>
      <c r="D344" s="22" t="s">
        <v>49</v>
      </c>
      <c r="E344" s="22" t="s">
        <v>72</v>
      </c>
      <c r="F344" s="22" t="s">
        <v>75</v>
      </c>
      <c r="G344" s="22" t="s">
        <v>57</v>
      </c>
      <c r="H344" s="23">
        <v>1269</v>
      </c>
      <c r="I344" s="24">
        <v>10</v>
      </c>
      <c r="J344" s="25">
        <f t="shared" si="5"/>
        <v>12690</v>
      </c>
      <c r="K344" t="str">
        <f t="shared" si="7"/>
        <v>SI</v>
      </c>
    </row>
    <row r="345" spans="1:11" x14ac:dyDescent="0.35">
      <c r="A345" s="33">
        <v>43333</v>
      </c>
      <c r="B345" s="22" t="s">
        <v>66</v>
      </c>
      <c r="C345" s="22" t="s">
        <v>54</v>
      </c>
      <c r="D345" s="22" t="s">
        <v>49</v>
      </c>
      <c r="E345" s="22" t="s">
        <v>50</v>
      </c>
      <c r="F345" s="22" t="s">
        <v>51</v>
      </c>
      <c r="G345" s="22" t="s">
        <v>57</v>
      </c>
      <c r="H345" s="23">
        <v>1259</v>
      </c>
      <c r="I345" s="24">
        <v>6</v>
      </c>
      <c r="J345" s="25">
        <f t="shared" si="5"/>
        <v>7554</v>
      </c>
      <c r="K345" t="str">
        <f t="shared" si="7"/>
        <v>SI</v>
      </c>
    </row>
    <row r="346" spans="1:11" x14ac:dyDescent="0.35">
      <c r="A346" s="33">
        <v>43333</v>
      </c>
      <c r="B346" s="22" t="s">
        <v>61</v>
      </c>
      <c r="C346" s="22" t="s">
        <v>71</v>
      </c>
      <c r="D346" s="22" t="s">
        <v>49</v>
      </c>
      <c r="E346" s="22" t="s">
        <v>62</v>
      </c>
      <c r="F346" s="22" t="s">
        <v>79</v>
      </c>
      <c r="G346" s="22" t="s">
        <v>57</v>
      </c>
      <c r="H346" s="23">
        <v>1249</v>
      </c>
      <c r="I346" s="24">
        <v>25</v>
      </c>
      <c r="J346" s="25">
        <f t="shared" si="5"/>
        <v>31225</v>
      </c>
      <c r="K346" t="str">
        <f t="shared" si="7"/>
        <v>SI</v>
      </c>
    </row>
    <row r="347" spans="1:11" x14ac:dyDescent="0.35">
      <c r="A347" s="33">
        <v>43333</v>
      </c>
      <c r="B347" s="22" t="s">
        <v>61</v>
      </c>
      <c r="C347" s="22" t="s">
        <v>58</v>
      </c>
      <c r="D347" s="22" t="s">
        <v>49</v>
      </c>
      <c r="E347" s="22" t="s">
        <v>59</v>
      </c>
      <c r="F347" s="22" t="s">
        <v>78</v>
      </c>
      <c r="G347" s="22" t="s">
        <v>52</v>
      </c>
      <c r="H347" s="23">
        <v>1249</v>
      </c>
      <c r="I347" s="24">
        <v>7</v>
      </c>
      <c r="J347" s="25">
        <f t="shared" si="5"/>
        <v>8743</v>
      </c>
      <c r="K347" t="str">
        <f t="shared" si="7"/>
        <v>SI</v>
      </c>
    </row>
    <row r="348" spans="1:11" x14ac:dyDescent="0.35">
      <c r="A348" s="33">
        <v>43333</v>
      </c>
      <c r="B348" s="22" t="s">
        <v>61</v>
      </c>
      <c r="C348" s="22" t="s">
        <v>48</v>
      </c>
      <c r="D348" s="22" t="s">
        <v>49</v>
      </c>
      <c r="E348" s="22" t="s">
        <v>59</v>
      </c>
      <c r="F348" s="22" t="s">
        <v>60</v>
      </c>
      <c r="G348" s="22" t="s">
        <v>52</v>
      </c>
      <c r="H348" s="23">
        <v>1249</v>
      </c>
      <c r="I348" s="24">
        <v>5</v>
      </c>
      <c r="J348" s="25">
        <f t="shared" si="5"/>
        <v>6245</v>
      </c>
      <c r="K348" t="str">
        <f t="shared" si="7"/>
        <v>SI</v>
      </c>
    </row>
    <row r="349" spans="1:11" x14ac:dyDescent="0.35">
      <c r="A349" s="33">
        <v>43333</v>
      </c>
      <c r="B349" s="22" t="s">
        <v>61</v>
      </c>
      <c r="C349" s="22" t="s">
        <v>64</v>
      </c>
      <c r="D349" s="22" t="s">
        <v>49</v>
      </c>
      <c r="E349" s="22" t="s">
        <v>50</v>
      </c>
      <c r="F349" s="22" t="s">
        <v>51</v>
      </c>
      <c r="G349" s="22" t="s">
        <v>57</v>
      </c>
      <c r="H349" s="23">
        <v>1249</v>
      </c>
      <c r="I349" s="24">
        <v>10</v>
      </c>
      <c r="J349" s="25">
        <f t="shared" si="5"/>
        <v>12490</v>
      </c>
      <c r="K349" t="str">
        <f t="shared" si="7"/>
        <v>SI</v>
      </c>
    </row>
    <row r="350" spans="1:11" x14ac:dyDescent="0.35">
      <c r="A350" s="33">
        <v>43333</v>
      </c>
      <c r="B350" s="22" t="s">
        <v>74</v>
      </c>
      <c r="C350" s="22" t="s">
        <v>64</v>
      </c>
      <c r="D350" s="22" t="s">
        <v>49</v>
      </c>
      <c r="E350" s="22" t="s">
        <v>67</v>
      </c>
      <c r="F350" s="22" t="s">
        <v>70</v>
      </c>
      <c r="G350" s="22" t="s">
        <v>52</v>
      </c>
      <c r="H350" s="23">
        <v>1169</v>
      </c>
      <c r="I350" s="24">
        <v>10</v>
      </c>
      <c r="J350" s="25">
        <f t="shared" si="5"/>
        <v>11690</v>
      </c>
      <c r="K350" t="str">
        <f t="shared" si="7"/>
        <v>SI</v>
      </c>
    </row>
    <row r="351" spans="1:11" x14ac:dyDescent="0.35">
      <c r="A351" s="33">
        <v>43333</v>
      </c>
      <c r="B351" s="22" t="s">
        <v>98</v>
      </c>
      <c r="C351" s="22" t="s">
        <v>58</v>
      </c>
      <c r="D351" s="22" t="s">
        <v>49</v>
      </c>
      <c r="E351" s="22" t="s">
        <v>59</v>
      </c>
      <c r="F351" s="22" t="s">
        <v>99</v>
      </c>
      <c r="G351" s="22" t="s">
        <v>52</v>
      </c>
      <c r="H351" s="23">
        <v>1159</v>
      </c>
      <c r="I351" s="24">
        <v>40</v>
      </c>
      <c r="J351" s="25">
        <f t="shared" si="5"/>
        <v>46360</v>
      </c>
      <c r="K351" t="str">
        <f t="shared" si="7"/>
        <v>SI</v>
      </c>
    </row>
    <row r="352" spans="1:11" x14ac:dyDescent="0.35">
      <c r="A352" s="33">
        <v>43333</v>
      </c>
      <c r="B352" s="22" t="s">
        <v>76</v>
      </c>
      <c r="C352" s="22" t="s">
        <v>58</v>
      </c>
      <c r="D352" s="22" t="s">
        <v>77</v>
      </c>
      <c r="E352" s="22" t="s">
        <v>55</v>
      </c>
      <c r="F352" s="22" t="s">
        <v>65</v>
      </c>
      <c r="G352" s="22" t="s">
        <v>57</v>
      </c>
      <c r="H352" s="23">
        <v>1050</v>
      </c>
      <c r="I352" s="24">
        <v>8</v>
      </c>
      <c r="J352" s="25">
        <f t="shared" si="5"/>
        <v>8400</v>
      </c>
      <c r="K352" t="str">
        <f t="shared" si="7"/>
        <v>SI</v>
      </c>
    </row>
    <row r="353" spans="1:11" x14ac:dyDescent="0.35">
      <c r="A353" s="33">
        <v>43333</v>
      </c>
      <c r="B353" s="22" t="s">
        <v>102</v>
      </c>
      <c r="C353" s="22" t="s">
        <v>97</v>
      </c>
      <c r="D353" s="22" t="s">
        <v>49</v>
      </c>
      <c r="E353" s="22" t="s">
        <v>67</v>
      </c>
      <c r="F353" s="22" t="s">
        <v>68</v>
      </c>
      <c r="G353" s="22" t="s">
        <v>52</v>
      </c>
      <c r="H353" s="23">
        <v>1049</v>
      </c>
      <c r="I353" s="24">
        <v>45</v>
      </c>
      <c r="J353" s="25">
        <f t="shared" si="5"/>
        <v>47205</v>
      </c>
      <c r="K353" t="str">
        <f t="shared" si="7"/>
        <v>SI</v>
      </c>
    </row>
    <row r="354" spans="1:11" x14ac:dyDescent="0.35">
      <c r="A354" s="33">
        <v>43333</v>
      </c>
      <c r="B354" s="22" t="s">
        <v>102</v>
      </c>
      <c r="C354" s="22" t="s">
        <v>58</v>
      </c>
      <c r="D354" s="22" t="s">
        <v>49</v>
      </c>
      <c r="E354" s="22" t="s">
        <v>50</v>
      </c>
      <c r="F354" s="22" t="s">
        <v>51</v>
      </c>
      <c r="G354" s="22" t="s">
        <v>52</v>
      </c>
      <c r="H354" s="23">
        <v>1049</v>
      </c>
      <c r="I354" s="24">
        <v>5</v>
      </c>
      <c r="J354" s="25">
        <f t="shared" si="5"/>
        <v>5245</v>
      </c>
      <c r="K354" t="str">
        <f t="shared" si="7"/>
        <v>SI</v>
      </c>
    </row>
    <row r="355" spans="1:11" x14ac:dyDescent="0.35">
      <c r="A355" s="33">
        <v>43333</v>
      </c>
      <c r="B355" s="22" t="s">
        <v>100</v>
      </c>
      <c r="C355" s="22" t="s">
        <v>106</v>
      </c>
      <c r="D355" s="22" t="s">
        <v>49</v>
      </c>
      <c r="E355" s="22" t="s">
        <v>55</v>
      </c>
      <c r="F355" s="22" t="s">
        <v>84</v>
      </c>
      <c r="G355" s="22" t="s">
        <v>57</v>
      </c>
      <c r="H355" s="23">
        <v>1029</v>
      </c>
      <c r="I355" s="24">
        <v>7</v>
      </c>
      <c r="J355" s="25">
        <f t="shared" si="5"/>
        <v>7203</v>
      </c>
      <c r="K355" t="str">
        <f t="shared" si="7"/>
        <v>SI</v>
      </c>
    </row>
    <row r="356" spans="1:11" x14ac:dyDescent="0.35">
      <c r="A356" s="33">
        <v>43333</v>
      </c>
      <c r="B356" s="22" t="s">
        <v>76</v>
      </c>
      <c r="C356" s="22" t="s">
        <v>58</v>
      </c>
      <c r="D356" s="22" t="s">
        <v>77</v>
      </c>
      <c r="E356" s="22" t="s">
        <v>55</v>
      </c>
      <c r="F356" s="22" t="s">
        <v>84</v>
      </c>
      <c r="G356" s="22" t="s">
        <v>52</v>
      </c>
      <c r="H356" s="23">
        <v>1001</v>
      </c>
      <c r="I356" s="24">
        <v>10</v>
      </c>
      <c r="J356" s="25">
        <f t="shared" si="5"/>
        <v>10010</v>
      </c>
      <c r="K356" t="str">
        <f t="shared" si="7"/>
        <v>SI</v>
      </c>
    </row>
    <row r="357" spans="1:11" x14ac:dyDescent="0.35">
      <c r="A357" s="33">
        <v>43333</v>
      </c>
      <c r="B357" s="22" t="s">
        <v>76</v>
      </c>
      <c r="C357" s="22" t="s">
        <v>58</v>
      </c>
      <c r="D357" s="22" t="s">
        <v>77</v>
      </c>
      <c r="E357" s="22" t="s">
        <v>67</v>
      </c>
      <c r="F357" s="22" t="s">
        <v>70</v>
      </c>
      <c r="G357" s="22" t="s">
        <v>57</v>
      </c>
      <c r="H357" s="23">
        <v>1001</v>
      </c>
      <c r="I357" s="24">
        <v>35</v>
      </c>
      <c r="J357" s="25">
        <f t="shared" si="5"/>
        <v>35035</v>
      </c>
      <c r="K357" t="str">
        <f t="shared" si="7"/>
        <v>SI</v>
      </c>
    </row>
    <row r="358" spans="1:11" x14ac:dyDescent="0.35">
      <c r="A358" s="33">
        <v>43333</v>
      </c>
      <c r="B358" s="22" t="s">
        <v>76</v>
      </c>
      <c r="C358" s="22" t="s">
        <v>58</v>
      </c>
      <c r="D358" s="22" t="s">
        <v>77</v>
      </c>
      <c r="E358" s="22" t="s">
        <v>62</v>
      </c>
      <c r="F358" s="22" t="s">
        <v>63</v>
      </c>
      <c r="G358" s="22" t="s">
        <v>57</v>
      </c>
      <c r="H358" s="23">
        <v>999</v>
      </c>
      <c r="I358" s="24">
        <v>2</v>
      </c>
      <c r="J358" s="25">
        <f t="shared" si="5"/>
        <v>1998</v>
      </c>
      <c r="K358" t="str">
        <f t="shared" si="7"/>
        <v>SI</v>
      </c>
    </row>
    <row r="359" spans="1:11" x14ac:dyDescent="0.35">
      <c r="A359" s="33">
        <v>43333</v>
      </c>
      <c r="B359" s="22" t="s">
        <v>80</v>
      </c>
      <c r="C359" s="22" t="s">
        <v>58</v>
      </c>
      <c r="D359" s="22" t="s">
        <v>77</v>
      </c>
      <c r="E359" s="22" t="s">
        <v>62</v>
      </c>
      <c r="F359" s="22" t="s">
        <v>63</v>
      </c>
      <c r="G359" s="22" t="s">
        <v>57</v>
      </c>
      <c r="H359" s="23">
        <v>999</v>
      </c>
      <c r="I359" s="24">
        <v>6</v>
      </c>
      <c r="J359" s="25">
        <f t="shared" si="5"/>
        <v>5994</v>
      </c>
      <c r="K359" t="str">
        <f t="shared" si="7"/>
        <v>SI</v>
      </c>
    </row>
    <row r="360" spans="1:11" x14ac:dyDescent="0.35">
      <c r="A360" s="33">
        <v>43333</v>
      </c>
      <c r="B360" s="22" t="s">
        <v>76</v>
      </c>
      <c r="C360" s="22" t="s">
        <v>58</v>
      </c>
      <c r="D360" s="22" t="s">
        <v>77</v>
      </c>
      <c r="E360" s="22" t="s">
        <v>59</v>
      </c>
      <c r="F360" s="22" t="s">
        <v>60</v>
      </c>
      <c r="G360" s="22" t="s">
        <v>57</v>
      </c>
      <c r="H360" s="23">
        <v>999</v>
      </c>
      <c r="I360" s="24">
        <v>9</v>
      </c>
      <c r="J360" s="25">
        <f t="shared" si="5"/>
        <v>8991</v>
      </c>
      <c r="K360" t="str">
        <f t="shared" si="7"/>
        <v>SI</v>
      </c>
    </row>
    <row r="361" spans="1:11" x14ac:dyDescent="0.35">
      <c r="A361" s="33">
        <v>43333</v>
      </c>
      <c r="B361" s="22" t="s">
        <v>80</v>
      </c>
      <c r="C361" s="22" t="s">
        <v>58</v>
      </c>
      <c r="D361" s="22" t="s">
        <v>77</v>
      </c>
      <c r="E361" s="22" t="s">
        <v>59</v>
      </c>
      <c r="F361" s="22" t="s">
        <v>60</v>
      </c>
      <c r="G361" s="22" t="s">
        <v>52</v>
      </c>
      <c r="H361" s="23">
        <v>999</v>
      </c>
      <c r="I361" s="24">
        <v>8</v>
      </c>
      <c r="J361" s="25">
        <f t="shared" si="5"/>
        <v>7992</v>
      </c>
      <c r="K361" t="str">
        <f t="shared" si="7"/>
        <v>SI</v>
      </c>
    </row>
    <row r="362" spans="1:11" x14ac:dyDescent="0.35">
      <c r="A362" s="33">
        <v>43333</v>
      </c>
      <c r="B362" s="22" t="s">
        <v>80</v>
      </c>
      <c r="C362" s="22" t="s">
        <v>58</v>
      </c>
      <c r="D362" s="22" t="s">
        <v>77</v>
      </c>
      <c r="E362" s="22" t="s">
        <v>72</v>
      </c>
      <c r="F362" s="22" t="s">
        <v>75</v>
      </c>
      <c r="G362" s="22" t="s">
        <v>57</v>
      </c>
      <c r="H362" s="23">
        <v>999</v>
      </c>
      <c r="I362" s="24">
        <v>8</v>
      </c>
      <c r="J362" s="25">
        <f t="shared" si="5"/>
        <v>7992</v>
      </c>
      <c r="K362" t="str">
        <f t="shared" si="7"/>
        <v>SI</v>
      </c>
    </row>
    <row r="363" spans="1:11" x14ac:dyDescent="0.35">
      <c r="A363" s="33">
        <v>43333</v>
      </c>
      <c r="B363" s="22" t="s">
        <v>80</v>
      </c>
      <c r="C363" s="22" t="s">
        <v>58</v>
      </c>
      <c r="D363" s="22" t="s">
        <v>77</v>
      </c>
      <c r="E363" s="22" t="s">
        <v>72</v>
      </c>
      <c r="F363" s="22" t="s">
        <v>83</v>
      </c>
      <c r="G363" s="22" t="s">
        <v>52</v>
      </c>
      <c r="H363" s="23">
        <v>999</v>
      </c>
      <c r="I363" s="24">
        <v>24</v>
      </c>
      <c r="J363" s="25">
        <f t="shared" si="5"/>
        <v>23976</v>
      </c>
      <c r="K363" t="str">
        <f t="shared" si="7"/>
        <v>SI</v>
      </c>
    </row>
    <row r="364" spans="1:11" x14ac:dyDescent="0.35">
      <c r="A364" s="33">
        <v>43333</v>
      </c>
      <c r="B364" s="22" t="s">
        <v>100</v>
      </c>
      <c r="C364" s="22" t="s">
        <v>97</v>
      </c>
      <c r="D364" s="22" t="s">
        <v>49</v>
      </c>
      <c r="E364" s="22" t="s">
        <v>50</v>
      </c>
      <c r="F364" s="22" t="s">
        <v>85</v>
      </c>
      <c r="G364" s="22" t="s">
        <v>57</v>
      </c>
      <c r="H364" s="23">
        <v>909</v>
      </c>
      <c r="I364" s="24">
        <v>35</v>
      </c>
      <c r="J364" s="25">
        <f t="shared" si="5"/>
        <v>31815</v>
      </c>
      <c r="K364" t="str">
        <f t="shared" si="7"/>
        <v>SI</v>
      </c>
    </row>
    <row r="365" spans="1:11" x14ac:dyDescent="0.35">
      <c r="A365" s="33">
        <v>43333</v>
      </c>
      <c r="B365" s="22" t="s">
        <v>61</v>
      </c>
      <c r="C365" s="22" t="s">
        <v>58</v>
      </c>
      <c r="D365" s="22" t="s">
        <v>49</v>
      </c>
      <c r="E365" s="22" t="s">
        <v>59</v>
      </c>
      <c r="F365" s="22" t="s">
        <v>99</v>
      </c>
      <c r="G365" s="22" t="s">
        <v>52</v>
      </c>
      <c r="H365" s="23">
        <v>699</v>
      </c>
      <c r="I365" s="24">
        <v>7</v>
      </c>
      <c r="J365" s="25">
        <f t="shared" si="5"/>
        <v>4893</v>
      </c>
      <c r="K365" t="str">
        <f t="shared" si="7"/>
        <v>SI</v>
      </c>
    </row>
    <row r="366" spans="1:11" x14ac:dyDescent="0.35">
      <c r="A366" s="33">
        <v>43333</v>
      </c>
      <c r="B366" s="22" t="s">
        <v>61</v>
      </c>
      <c r="C366" s="22" t="s">
        <v>106</v>
      </c>
      <c r="D366" s="22" t="s">
        <v>49</v>
      </c>
      <c r="E366" s="22" t="s">
        <v>50</v>
      </c>
      <c r="F366" s="22" t="s">
        <v>85</v>
      </c>
      <c r="G366" s="22" t="s">
        <v>57</v>
      </c>
      <c r="H366" s="23">
        <v>699</v>
      </c>
      <c r="I366" s="24">
        <v>10</v>
      </c>
      <c r="J366" s="25">
        <f t="shared" si="5"/>
        <v>6990</v>
      </c>
      <c r="K366" t="str">
        <f t="shared" si="7"/>
        <v>SI</v>
      </c>
    </row>
    <row r="367" spans="1:11" x14ac:dyDescent="0.35">
      <c r="A367" s="33">
        <v>43333</v>
      </c>
      <c r="B367" s="22" t="s">
        <v>114</v>
      </c>
      <c r="C367" s="22" t="s">
        <v>54</v>
      </c>
      <c r="D367" s="22" t="s">
        <v>77</v>
      </c>
      <c r="E367" s="22" t="s">
        <v>59</v>
      </c>
      <c r="F367" s="22" t="s">
        <v>99</v>
      </c>
      <c r="G367" s="22" t="s">
        <v>57</v>
      </c>
      <c r="H367" s="23">
        <v>599</v>
      </c>
      <c r="I367" s="24">
        <v>30</v>
      </c>
      <c r="J367" s="25">
        <f t="shared" si="5"/>
        <v>17970</v>
      </c>
      <c r="K367" t="str">
        <f t="shared" si="7"/>
        <v>SI</v>
      </c>
    </row>
    <row r="368" spans="1:11" x14ac:dyDescent="0.35">
      <c r="A368" s="33">
        <v>43333</v>
      </c>
      <c r="B368" s="22" t="s">
        <v>82</v>
      </c>
      <c r="C368" s="22" t="s">
        <v>64</v>
      </c>
      <c r="D368" s="22" t="s">
        <v>77</v>
      </c>
      <c r="E368" s="22" t="s">
        <v>55</v>
      </c>
      <c r="F368" s="22" t="s">
        <v>84</v>
      </c>
      <c r="G368" s="22" t="s">
        <v>57</v>
      </c>
      <c r="H368" s="23">
        <v>329</v>
      </c>
      <c r="I368" s="24">
        <v>7</v>
      </c>
      <c r="J368" s="25">
        <f t="shared" si="5"/>
        <v>2303</v>
      </c>
      <c r="K368" t="str">
        <f t="shared" si="7"/>
        <v>SI</v>
      </c>
    </row>
    <row r="369" spans="1:11" x14ac:dyDescent="0.35">
      <c r="A369" s="33">
        <v>43333</v>
      </c>
      <c r="B369" s="22" t="s">
        <v>82</v>
      </c>
      <c r="C369" s="22" t="s">
        <v>58</v>
      </c>
      <c r="D369" s="22" t="s">
        <v>77</v>
      </c>
      <c r="E369" s="22" t="s">
        <v>62</v>
      </c>
      <c r="F369" s="22" t="s">
        <v>63</v>
      </c>
      <c r="G369" s="22" t="s">
        <v>57</v>
      </c>
      <c r="H369" s="23">
        <v>329</v>
      </c>
      <c r="I369" s="24">
        <v>40</v>
      </c>
      <c r="J369" s="25">
        <f t="shared" si="5"/>
        <v>13160</v>
      </c>
      <c r="K369" t="str">
        <f t="shared" si="7"/>
        <v>SI</v>
      </c>
    </row>
    <row r="370" spans="1:11" x14ac:dyDescent="0.35">
      <c r="A370" s="33">
        <v>43333</v>
      </c>
      <c r="B370" s="22" t="s">
        <v>82</v>
      </c>
      <c r="C370" s="22" t="s">
        <v>54</v>
      </c>
      <c r="D370" s="22" t="s">
        <v>77</v>
      </c>
      <c r="E370" s="22" t="s">
        <v>50</v>
      </c>
      <c r="F370" s="22" t="s">
        <v>85</v>
      </c>
      <c r="G370" s="22" t="s">
        <v>57</v>
      </c>
      <c r="H370" s="23">
        <v>329</v>
      </c>
      <c r="I370" s="24">
        <v>10</v>
      </c>
      <c r="J370" s="25">
        <f t="shared" si="5"/>
        <v>3290</v>
      </c>
      <c r="K370" t="str">
        <f t="shared" si="7"/>
        <v>SI</v>
      </c>
    </row>
    <row r="371" spans="1:11" x14ac:dyDescent="0.35">
      <c r="A371" s="33">
        <v>43333</v>
      </c>
      <c r="B371" s="22" t="s">
        <v>98</v>
      </c>
      <c r="C371" s="22" t="s">
        <v>64</v>
      </c>
      <c r="D371" s="22" t="s">
        <v>49</v>
      </c>
      <c r="E371" s="22" t="s">
        <v>55</v>
      </c>
      <c r="F371" s="22" t="s">
        <v>84</v>
      </c>
      <c r="G371" s="22" t="s">
        <v>57</v>
      </c>
      <c r="H371" s="23">
        <v>259</v>
      </c>
      <c r="I371" s="24">
        <v>7</v>
      </c>
      <c r="J371" s="25">
        <f t="shared" si="5"/>
        <v>1813</v>
      </c>
      <c r="K371" t="str">
        <f t="shared" si="7"/>
        <v>SI</v>
      </c>
    </row>
    <row r="372" spans="1:11" x14ac:dyDescent="0.35">
      <c r="A372" s="33">
        <v>43333</v>
      </c>
      <c r="B372" s="22" t="s">
        <v>98</v>
      </c>
      <c r="C372" s="22" t="s">
        <v>58</v>
      </c>
      <c r="D372" s="22" t="s">
        <v>49</v>
      </c>
      <c r="E372" s="22" t="s">
        <v>67</v>
      </c>
      <c r="F372" s="22" t="s">
        <v>70</v>
      </c>
      <c r="G372" s="22" t="s">
        <v>57</v>
      </c>
      <c r="H372" s="23">
        <v>259</v>
      </c>
      <c r="I372" s="24">
        <v>45</v>
      </c>
      <c r="J372" s="25">
        <f t="shared" si="5"/>
        <v>11655</v>
      </c>
      <c r="K372" t="str">
        <f t="shared" si="7"/>
        <v>SI</v>
      </c>
    </row>
    <row r="373" spans="1:11" x14ac:dyDescent="0.35">
      <c r="A373" s="33">
        <v>43333</v>
      </c>
      <c r="B373" s="22" t="s">
        <v>82</v>
      </c>
      <c r="C373" s="22" t="s">
        <v>54</v>
      </c>
      <c r="D373" s="22" t="s">
        <v>77</v>
      </c>
      <c r="E373" s="22" t="s">
        <v>67</v>
      </c>
      <c r="F373" s="22" t="s">
        <v>68</v>
      </c>
      <c r="G373" s="22" t="s">
        <v>57</v>
      </c>
      <c r="H373" s="23">
        <v>249</v>
      </c>
      <c r="I373" s="24">
        <v>35</v>
      </c>
      <c r="J373" s="25">
        <f t="shared" si="5"/>
        <v>8715</v>
      </c>
      <c r="K373" t="str">
        <f t="shared" si="7"/>
        <v>SI</v>
      </c>
    </row>
    <row r="374" spans="1:11" x14ac:dyDescent="0.35">
      <c r="A374" s="33">
        <v>43333</v>
      </c>
      <c r="B374" s="22" t="s">
        <v>82</v>
      </c>
      <c r="C374" s="22" t="s">
        <v>93</v>
      </c>
      <c r="D374" s="22" t="s">
        <v>77</v>
      </c>
      <c r="E374" s="22" t="s">
        <v>62</v>
      </c>
      <c r="F374" s="22" t="s">
        <v>63</v>
      </c>
      <c r="G374" s="22" t="s">
        <v>57</v>
      </c>
      <c r="H374" s="23">
        <v>249</v>
      </c>
      <c r="I374" s="24">
        <v>3</v>
      </c>
      <c r="J374" s="25">
        <f t="shared" si="5"/>
        <v>747</v>
      </c>
      <c r="K374" t="str">
        <f t="shared" si="7"/>
        <v>SI</v>
      </c>
    </row>
    <row r="375" spans="1:11" x14ac:dyDescent="0.35">
      <c r="A375" s="33">
        <v>43333</v>
      </c>
      <c r="B375" s="22" t="s">
        <v>82</v>
      </c>
      <c r="C375" s="22" t="s">
        <v>54</v>
      </c>
      <c r="D375" s="22" t="s">
        <v>77</v>
      </c>
      <c r="E375" s="22" t="s">
        <v>55</v>
      </c>
      <c r="F375" s="22" t="s">
        <v>84</v>
      </c>
      <c r="G375" s="22" t="s">
        <v>52</v>
      </c>
      <c r="H375" s="23">
        <v>229</v>
      </c>
      <c r="I375" s="24">
        <v>10</v>
      </c>
      <c r="J375" s="25">
        <f t="shared" si="5"/>
        <v>2290</v>
      </c>
      <c r="K375" t="str">
        <f t="shared" si="7"/>
        <v>SI</v>
      </c>
    </row>
    <row r="376" spans="1:11" x14ac:dyDescent="0.35">
      <c r="A376" s="33">
        <v>43333</v>
      </c>
      <c r="B376" s="22" t="s">
        <v>86</v>
      </c>
      <c r="C376" s="22" t="s">
        <v>48</v>
      </c>
      <c r="D376" s="22" t="s">
        <v>87</v>
      </c>
      <c r="E376" s="22" t="s">
        <v>62</v>
      </c>
      <c r="F376" s="22" t="s">
        <v>63</v>
      </c>
      <c r="G376" s="22" t="s">
        <v>57</v>
      </c>
      <c r="H376" s="23">
        <v>195</v>
      </c>
      <c r="I376" s="24">
        <v>10</v>
      </c>
      <c r="J376" s="25">
        <f t="shared" si="5"/>
        <v>1950</v>
      </c>
      <c r="K376" t="str">
        <f t="shared" si="7"/>
        <v>SI</v>
      </c>
    </row>
    <row r="377" spans="1:11" x14ac:dyDescent="0.35">
      <c r="A377" s="33">
        <v>43333</v>
      </c>
      <c r="B377" s="22" t="s">
        <v>91</v>
      </c>
      <c r="C377" s="22" t="s">
        <v>64</v>
      </c>
      <c r="D377" s="22" t="s">
        <v>92</v>
      </c>
      <c r="E377" s="22" t="s">
        <v>59</v>
      </c>
      <c r="F377" s="22" t="s">
        <v>99</v>
      </c>
      <c r="G377" s="22" t="s">
        <v>57</v>
      </c>
      <c r="H377" s="23">
        <v>129</v>
      </c>
      <c r="I377" s="24">
        <v>30</v>
      </c>
      <c r="J377" s="25">
        <f t="shared" si="5"/>
        <v>3870</v>
      </c>
      <c r="K377" t="str">
        <f t="shared" si="7"/>
        <v>SI</v>
      </c>
    </row>
    <row r="378" spans="1:11" x14ac:dyDescent="0.35">
      <c r="A378" s="33">
        <v>43333</v>
      </c>
      <c r="B378" s="22" t="s">
        <v>91</v>
      </c>
      <c r="C378" s="22" t="s">
        <v>64</v>
      </c>
      <c r="D378" s="22" t="s">
        <v>92</v>
      </c>
      <c r="E378" s="22" t="s">
        <v>72</v>
      </c>
      <c r="F378" s="22" t="s">
        <v>75</v>
      </c>
      <c r="G378" s="22" t="s">
        <v>57</v>
      </c>
      <c r="H378" s="23">
        <v>129</v>
      </c>
      <c r="I378" s="24">
        <v>6</v>
      </c>
      <c r="J378" s="25">
        <f t="shared" si="5"/>
        <v>774</v>
      </c>
      <c r="K378" t="str">
        <f t="shared" si="7"/>
        <v>SI</v>
      </c>
    </row>
    <row r="379" spans="1:11" x14ac:dyDescent="0.35">
      <c r="A379" s="33">
        <v>43333</v>
      </c>
      <c r="B379" s="22" t="s">
        <v>95</v>
      </c>
      <c r="C379" s="22" t="s">
        <v>64</v>
      </c>
      <c r="D379" s="22" t="s">
        <v>87</v>
      </c>
      <c r="E379" s="22" t="s">
        <v>62</v>
      </c>
      <c r="F379" s="22" t="s">
        <v>79</v>
      </c>
      <c r="G379" s="22" t="s">
        <v>57</v>
      </c>
      <c r="H379" s="23">
        <v>99</v>
      </c>
      <c r="I379" s="24">
        <v>7</v>
      </c>
      <c r="J379" s="25">
        <f t="shared" si="5"/>
        <v>693</v>
      </c>
      <c r="K379" t="str">
        <f t="shared" si="7"/>
        <v>SI</v>
      </c>
    </row>
    <row r="380" spans="1:11" x14ac:dyDescent="0.35">
      <c r="A380" s="33">
        <v>43333</v>
      </c>
      <c r="B380" s="22" t="s">
        <v>94</v>
      </c>
      <c r="C380" s="22" t="s">
        <v>48</v>
      </c>
      <c r="D380" s="22" t="s">
        <v>87</v>
      </c>
      <c r="E380" s="22" t="s">
        <v>62</v>
      </c>
      <c r="F380" s="22" t="s">
        <v>63</v>
      </c>
      <c r="G380" s="22" t="s">
        <v>57</v>
      </c>
      <c r="H380" s="23">
        <v>99</v>
      </c>
      <c r="I380" s="24">
        <v>36</v>
      </c>
      <c r="J380" s="25">
        <f t="shared" si="5"/>
        <v>3564</v>
      </c>
      <c r="K380" t="str">
        <f t="shared" si="7"/>
        <v>SI</v>
      </c>
    </row>
    <row r="381" spans="1:11" x14ac:dyDescent="0.35">
      <c r="A381" s="33">
        <v>43333</v>
      </c>
      <c r="B381" s="22" t="s">
        <v>96</v>
      </c>
      <c r="C381" s="22" t="s">
        <v>58</v>
      </c>
      <c r="D381" s="22" t="s">
        <v>92</v>
      </c>
      <c r="E381" s="22" t="s">
        <v>72</v>
      </c>
      <c r="F381" s="22" t="s">
        <v>75</v>
      </c>
      <c r="G381" s="22" t="s">
        <v>57</v>
      </c>
      <c r="H381" s="23">
        <v>89</v>
      </c>
      <c r="I381" s="24">
        <v>25</v>
      </c>
      <c r="J381" s="25">
        <f t="shared" si="5"/>
        <v>2225</v>
      </c>
      <c r="K381" t="str">
        <f t="shared" si="7"/>
        <v>SI</v>
      </c>
    </row>
    <row r="382" spans="1:11" x14ac:dyDescent="0.35">
      <c r="A382" s="33">
        <v>43333</v>
      </c>
      <c r="B382" s="22" t="s">
        <v>105</v>
      </c>
      <c r="C382" s="22" t="s">
        <v>58</v>
      </c>
      <c r="D382" s="22" t="s">
        <v>92</v>
      </c>
      <c r="E382" s="22" t="s">
        <v>50</v>
      </c>
      <c r="F382" s="22" t="s">
        <v>51</v>
      </c>
      <c r="G382" s="22" t="s">
        <v>57</v>
      </c>
      <c r="H382" s="23">
        <v>39</v>
      </c>
      <c r="I382" s="24">
        <v>10</v>
      </c>
      <c r="J382" s="25">
        <f t="shared" si="5"/>
        <v>390</v>
      </c>
      <c r="K382" t="str">
        <f t="shared" si="7"/>
        <v>SI</v>
      </c>
    </row>
    <row r="383" spans="1:11" x14ac:dyDescent="0.35">
      <c r="A383" s="33">
        <v>43334</v>
      </c>
      <c r="B383" s="22" t="s">
        <v>47</v>
      </c>
      <c r="C383" s="22" t="s">
        <v>106</v>
      </c>
      <c r="D383" s="22" t="s">
        <v>49</v>
      </c>
      <c r="E383" s="22" t="s">
        <v>62</v>
      </c>
      <c r="F383" s="22" t="s">
        <v>79</v>
      </c>
      <c r="G383" s="22" t="s">
        <v>57</v>
      </c>
      <c r="H383" s="23">
        <v>2309</v>
      </c>
      <c r="I383" s="24">
        <v>7</v>
      </c>
      <c r="J383" s="25">
        <f t="shared" si="5"/>
        <v>16163</v>
      </c>
      <c r="K383" t="str">
        <f t="shared" si="7"/>
        <v>SI</v>
      </c>
    </row>
    <row r="384" spans="1:11" x14ac:dyDescent="0.35">
      <c r="A384" s="33">
        <v>43334</v>
      </c>
      <c r="B384" s="22" t="s">
        <v>47</v>
      </c>
      <c r="C384" s="22" t="s">
        <v>58</v>
      </c>
      <c r="D384" s="22" t="s">
        <v>49</v>
      </c>
      <c r="E384" s="22" t="s">
        <v>55</v>
      </c>
      <c r="F384" s="22" t="s">
        <v>65</v>
      </c>
      <c r="G384" s="22" t="s">
        <v>52</v>
      </c>
      <c r="H384" s="23">
        <v>1599</v>
      </c>
      <c r="I384" s="24">
        <v>10</v>
      </c>
      <c r="J384" s="25">
        <f t="shared" si="5"/>
        <v>15990</v>
      </c>
      <c r="K384" t="str">
        <f t="shared" si="7"/>
        <v>SI</v>
      </c>
    </row>
    <row r="385" spans="1:11" x14ac:dyDescent="0.35">
      <c r="A385" s="33">
        <v>43334</v>
      </c>
      <c r="B385" s="22" t="s">
        <v>47</v>
      </c>
      <c r="C385" s="22" t="s">
        <v>93</v>
      </c>
      <c r="D385" s="22" t="s">
        <v>49</v>
      </c>
      <c r="E385" s="22" t="s">
        <v>50</v>
      </c>
      <c r="F385" s="22" t="s">
        <v>81</v>
      </c>
      <c r="G385" s="22" t="s">
        <v>57</v>
      </c>
      <c r="H385" s="23">
        <v>1599</v>
      </c>
      <c r="I385" s="24">
        <v>15</v>
      </c>
      <c r="J385" s="25">
        <f t="shared" si="5"/>
        <v>23985</v>
      </c>
      <c r="K385" t="str">
        <f t="shared" si="7"/>
        <v>SI</v>
      </c>
    </row>
    <row r="386" spans="1:11" x14ac:dyDescent="0.35">
      <c r="A386" s="33">
        <v>43334</v>
      </c>
      <c r="B386" s="22" t="s">
        <v>47</v>
      </c>
      <c r="C386" s="22" t="s">
        <v>71</v>
      </c>
      <c r="D386" s="22" t="s">
        <v>49</v>
      </c>
      <c r="E386" s="22" t="s">
        <v>72</v>
      </c>
      <c r="F386" s="22" t="s">
        <v>75</v>
      </c>
      <c r="G386" s="22" t="s">
        <v>52</v>
      </c>
      <c r="H386" s="23">
        <v>1599</v>
      </c>
      <c r="I386" s="24">
        <v>8</v>
      </c>
      <c r="J386" s="25">
        <f t="shared" si="5"/>
        <v>12792</v>
      </c>
      <c r="K386" t="str">
        <f t="shared" si="7"/>
        <v>SI</v>
      </c>
    </row>
    <row r="387" spans="1:11" x14ac:dyDescent="0.35">
      <c r="A387" s="33">
        <v>43334</v>
      </c>
      <c r="B387" s="22" t="s">
        <v>53</v>
      </c>
      <c r="C387" s="22" t="s">
        <v>58</v>
      </c>
      <c r="D387" s="22" t="s">
        <v>49</v>
      </c>
      <c r="E387" s="22" t="s">
        <v>67</v>
      </c>
      <c r="F387" s="22" t="s">
        <v>68</v>
      </c>
      <c r="G387" s="22" t="s">
        <v>52</v>
      </c>
      <c r="H387" s="23">
        <v>1579</v>
      </c>
      <c r="I387" s="24">
        <v>6</v>
      </c>
      <c r="J387" s="25">
        <f t="shared" si="5"/>
        <v>9474</v>
      </c>
      <c r="K387" t="str">
        <f t="shared" ref="K387:K409" si="8">IF(H387*I387=J387,"SI","Error")</f>
        <v>SI</v>
      </c>
    </row>
    <row r="388" spans="1:11" x14ac:dyDescent="0.35">
      <c r="A388" s="33">
        <v>43334</v>
      </c>
      <c r="B388" s="22" t="s">
        <v>53</v>
      </c>
      <c r="C388" s="22" t="s">
        <v>48</v>
      </c>
      <c r="D388" s="22" t="s">
        <v>49</v>
      </c>
      <c r="E388" s="22" t="s">
        <v>72</v>
      </c>
      <c r="F388" s="22" t="s">
        <v>75</v>
      </c>
      <c r="G388" s="22" t="s">
        <v>52</v>
      </c>
      <c r="H388" s="23">
        <v>1579</v>
      </c>
      <c r="I388" s="24">
        <v>4</v>
      </c>
      <c r="J388" s="25">
        <f t="shared" si="5"/>
        <v>6316</v>
      </c>
      <c r="K388" t="str">
        <f t="shared" si="8"/>
        <v>SI</v>
      </c>
    </row>
    <row r="389" spans="1:11" x14ac:dyDescent="0.35">
      <c r="A389" s="33">
        <v>43334</v>
      </c>
      <c r="B389" s="22" t="s">
        <v>53</v>
      </c>
      <c r="C389" s="22" t="s">
        <v>58</v>
      </c>
      <c r="D389" s="22" t="s">
        <v>49</v>
      </c>
      <c r="E389" s="22" t="s">
        <v>50</v>
      </c>
      <c r="F389" s="22" t="s">
        <v>81</v>
      </c>
      <c r="G389" s="22" t="s">
        <v>52</v>
      </c>
      <c r="H389" s="23">
        <v>1279</v>
      </c>
      <c r="I389" s="24">
        <v>6</v>
      </c>
      <c r="J389" s="25">
        <f t="shared" si="5"/>
        <v>7674</v>
      </c>
      <c r="K389" t="str">
        <f t="shared" si="8"/>
        <v>SI</v>
      </c>
    </row>
    <row r="390" spans="1:11" x14ac:dyDescent="0.35">
      <c r="A390" s="33">
        <v>43334</v>
      </c>
      <c r="B390" s="22" t="s">
        <v>74</v>
      </c>
      <c r="C390" s="22" t="s">
        <v>48</v>
      </c>
      <c r="D390" s="22" t="s">
        <v>49</v>
      </c>
      <c r="E390" s="22" t="s">
        <v>67</v>
      </c>
      <c r="F390" s="22" t="s">
        <v>68</v>
      </c>
      <c r="G390" s="22" t="s">
        <v>57</v>
      </c>
      <c r="H390" s="23">
        <v>1169</v>
      </c>
      <c r="I390" s="24">
        <v>6</v>
      </c>
      <c r="J390" s="25">
        <f t="shared" si="5"/>
        <v>7014</v>
      </c>
      <c r="K390" t="str">
        <f t="shared" si="8"/>
        <v>SI</v>
      </c>
    </row>
    <row r="391" spans="1:11" x14ac:dyDescent="0.35">
      <c r="A391" s="33">
        <v>43334</v>
      </c>
      <c r="B391" s="22" t="s">
        <v>66</v>
      </c>
      <c r="C391" s="22" t="s">
        <v>64</v>
      </c>
      <c r="D391" s="22" t="s">
        <v>49</v>
      </c>
      <c r="E391" s="22" t="s">
        <v>62</v>
      </c>
      <c r="F391" s="22" t="s">
        <v>79</v>
      </c>
      <c r="G391" s="22" t="s">
        <v>57</v>
      </c>
      <c r="H391" s="23">
        <v>1069</v>
      </c>
      <c r="I391" s="24">
        <v>25</v>
      </c>
      <c r="J391" s="25">
        <f t="shared" si="5"/>
        <v>26725</v>
      </c>
      <c r="K391" t="str">
        <f t="shared" si="8"/>
        <v>SI</v>
      </c>
    </row>
    <row r="392" spans="1:11" x14ac:dyDescent="0.35">
      <c r="A392" s="33">
        <v>43334</v>
      </c>
      <c r="B392" s="22" t="s">
        <v>100</v>
      </c>
      <c r="C392" s="22" t="s">
        <v>54</v>
      </c>
      <c r="D392" s="22" t="s">
        <v>49</v>
      </c>
      <c r="E392" s="22" t="s">
        <v>50</v>
      </c>
      <c r="F392" s="22" t="s">
        <v>85</v>
      </c>
      <c r="G392" s="22" t="s">
        <v>52</v>
      </c>
      <c r="H392" s="23">
        <v>1029</v>
      </c>
      <c r="I392" s="24">
        <v>30</v>
      </c>
      <c r="J392" s="25">
        <f t="shared" si="5"/>
        <v>30870</v>
      </c>
      <c r="K392" t="str">
        <f t="shared" si="8"/>
        <v>SI</v>
      </c>
    </row>
    <row r="393" spans="1:11" x14ac:dyDescent="0.35">
      <c r="A393" s="33">
        <v>43334</v>
      </c>
      <c r="B393" s="22" t="s">
        <v>76</v>
      </c>
      <c r="C393" s="22" t="s">
        <v>58</v>
      </c>
      <c r="D393" s="22" t="s">
        <v>77</v>
      </c>
      <c r="E393" s="22" t="s">
        <v>55</v>
      </c>
      <c r="F393" s="22" t="s">
        <v>84</v>
      </c>
      <c r="G393" s="22" t="s">
        <v>57</v>
      </c>
      <c r="H393" s="23">
        <v>1000</v>
      </c>
      <c r="I393" s="24">
        <v>40</v>
      </c>
      <c r="J393" s="25">
        <f t="shared" si="5"/>
        <v>40000</v>
      </c>
      <c r="K393" t="str">
        <f t="shared" si="8"/>
        <v>SI</v>
      </c>
    </row>
    <row r="394" spans="1:11" x14ac:dyDescent="0.35">
      <c r="A394" s="33">
        <v>43334</v>
      </c>
      <c r="B394" s="22" t="s">
        <v>76</v>
      </c>
      <c r="C394" s="22" t="s">
        <v>58</v>
      </c>
      <c r="D394" s="22" t="s">
        <v>77</v>
      </c>
      <c r="E394" s="22" t="s">
        <v>59</v>
      </c>
      <c r="F394" s="22" t="s">
        <v>60</v>
      </c>
      <c r="G394" s="22" t="s">
        <v>57</v>
      </c>
      <c r="H394" s="23">
        <v>999</v>
      </c>
      <c r="I394" s="24">
        <v>5</v>
      </c>
      <c r="J394" s="25">
        <f t="shared" si="5"/>
        <v>4995</v>
      </c>
      <c r="K394" t="str">
        <f t="shared" si="8"/>
        <v>SI</v>
      </c>
    </row>
    <row r="395" spans="1:11" x14ac:dyDescent="0.35">
      <c r="A395" s="33">
        <v>43334</v>
      </c>
      <c r="B395" s="22" t="s">
        <v>76</v>
      </c>
      <c r="C395" s="22" t="s">
        <v>58</v>
      </c>
      <c r="D395" s="22" t="s">
        <v>77</v>
      </c>
      <c r="E395" s="22" t="s">
        <v>50</v>
      </c>
      <c r="F395" s="22" t="s">
        <v>81</v>
      </c>
      <c r="G395" s="22" t="s">
        <v>57</v>
      </c>
      <c r="H395" s="23">
        <v>999</v>
      </c>
      <c r="I395" s="24">
        <v>3</v>
      </c>
      <c r="J395" s="25">
        <f t="shared" si="5"/>
        <v>2997</v>
      </c>
      <c r="K395" t="str">
        <f t="shared" si="8"/>
        <v>SI</v>
      </c>
    </row>
    <row r="396" spans="1:11" x14ac:dyDescent="0.35">
      <c r="A396" s="33">
        <v>43334</v>
      </c>
      <c r="B396" s="22" t="s">
        <v>102</v>
      </c>
      <c r="C396" s="22" t="s">
        <v>54</v>
      </c>
      <c r="D396" s="22" t="s">
        <v>49</v>
      </c>
      <c r="E396" s="22" t="s">
        <v>67</v>
      </c>
      <c r="F396" s="22" t="s">
        <v>70</v>
      </c>
      <c r="G396" s="22" t="s">
        <v>57</v>
      </c>
      <c r="H396" s="23">
        <v>849</v>
      </c>
      <c r="I396" s="24">
        <v>5</v>
      </c>
      <c r="J396" s="25">
        <f t="shared" si="5"/>
        <v>4245</v>
      </c>
      <c r="K396" t="str">
        <f t="shared" si="8"/>
        <v>SI</v>
      </c>
    </row>
    <row r="397" spans="1:11" x14ac:dyDescent="0.35">
      <c r="A397" s="33">
        <v>43334</v>
      </c>
      <c r="B397" s="22" t="s">
        <v>61</v>
      </c>
      <c r="C397" s="22" t="s">
        <v>54</v>
      </c>
      <c r="D397" s="22" t="s">
        <v>49</v>
      </c>
      <c r="E397" s="22" t="s">
        <v>67</v>
      </c>
      <c r="F397" s="22" t="s">
        <v>70</v>
      </c>
      <c r="G397" s="22" t="s">
        <v>52</v>
      </c>
      <c r="H397" s="23">
        <v>699</v>
      </c>
      <c r="I397" s="24">
        <v>10</v>
      </c>
      <c r="J397" s="25">
        <f t="shared" si="5"/>
        <v>6990</v>
      </c>
      <c r="K397" t="str">
        <f t="shared" si="8"/>
        <v>SI</v>
      </c>
    </row>
    <row r="398" spans="1:11" x14ac:dyDescent="0.35">
      <c r="A398" s="33">
        <v>43334</v>
      </c>
      <c r="B398" s="22" t="s">
        <v>61</v>
      </c>
      <c r="C398" s="22" t="s">
        <v>54</v>
      </c>
      <c r="D398" s="22" t="s">
        <v>49</v>
      </c>
      <c r="E398" s="22" t="s">
        <v>62</v>
      </c>
      <c r="F398" s="22" t="s">
        <v>79</v>
      </c>
      <c r="G398" s="22" t="s">
        <v>57</v>
      </c>
      <c r="H398" s="23">
        <v>699</v>
      </c>
      <c r="I398" s="24">
        <v>40</v>
      </c>
      <c r="J398" s="25">
        <f t="shared" si="5"/>
        <v>27960</v>
      </c>
      <c r="K398" t="str">
        <f t="shared" si="8"/>
        <v>SI</v>
      </c>
    </row>
    <row r="399" spans="1:11" x14ac:dyDescent="0.35">
      <c r="A399" s="33">
        <v>43334</v>
      </c>
      <c r="B399" s="22" t="s">
        <v>61</v>
      </c>
      <c r="C399" s="22" t="s">
        <v>58</v>
      </c>
      <c r="D399" s="22" t="s">
        <v>49</v>
      </c>
      <c r="E399" s="22" t="s">
        <v>72</v>
      </c>
      <c r="F399" s="22" t="s">
        <v>73</v>
      </c>
      <c r="G399" s="22" t="s">
        <v>52</v>
      </c>
      <c r="H399" s="23">
        <v>699</v>
      </c>
      <c r="I399" s="24">
        <v>30</v>
      </c>
      <c r="J399" s="25">
        <f t="shared" si="5"/>
        <v>20970</v>
      </c>
      <c r="K399" t="str">
        <f t="shared" si="8"/>
        <v>SI</v>
      </c>
    </row>
    <row r="400" spans="1:11" x14ac:dyDescent="0.35">
      <c r="A400" s="33">
        <v>43334</v>
      </c>
      <c r="B400" s="22" t="s">
        <v>82</v>
      </c>
      <c r="C400" s="22" t="s">
        <v>64</v>
      </c>
      <c r="D400" s="22" t="s">
        <v>77</v>
      </c>
      <c r="E400" s="22" t="s">
        <v>50</v>
      </c>
      <c r="F400" s="22" t="s">
        <v>85</v>
      </c>
      <c r="G400" s="22" t="s">
        <v>57</v>
      </c>
      <c r="H400" s="23">
        <v>329</v>
      </c>
      <c r="I400" s="24">
        <v>30</v>
      </c>
      <c r="J400" s="25">
        <f t="shared" si="5"/>
        <v>9870</v>
      </c>
      <c r="K400" t="str">
        <f t="shared" si="8"/>
        <v>SI</v>
      </c>
    </row>
    <row r="401" spans="1:11" x14ac:dyDescent="0.35">
      <c r="A401" s="33">
        <v>43334</v>
      </c>
      <c r="B401" s="22" t="s">
        <v>82</v>
      </c>
      <c r="C401" s="22" t="s">
        <v>48</v>
      </c>
      <c r="D401" s="22" t="s">
        <v>77</v>
      </c>
      <c r="E401" s="22" t="s">
        <v>62</v>
      </c>
      <c r="F401" s="22" t="s">
        <v>79</v>
      </c>
      <c r="G401" s="22" t="s">
        <v>52</v>
      </c>
      <c r="H401" s="23">
        <v>319</v>
      </c>
      <c r="I401" s="24">
        <v>7</v>
      </c>
      <c r="J401" s="25">
        <f t="shared" si="5"/>
        <v>2233</v>
      </c>
      <c r="K401" t="str">
        <f t="shared" si="8"/>
        <v>SI</v>
      </c>
    </row>
    <row r="402" spans="1:11" x14ac:dyDescent="0.35">
      <c r="A402" s="33">
        <v>43334</v>
      </c>
      <c r="B402" s="22" t="s">
        <v>82</v>
      </c>
      <c r="C402" s="22" t="s">
        <v>71</v>
      </c>
      <c r="D402" s="22" t="s">
        <v>77</v>
      </c>
      <c r="E402" s="22" t="s">
        <v>59</v>
      </c>
      <c r="F402" s="22" t="s">
        <v>99</v>
      </c>
      <c r="G402" s="22" t="s">
        <v>52</v>
      </c>
      <c r="H402" s="23">
        <v>319</v>
      </c>
      <c r="I402" s="24">
        <v>40</v>
      </c>
      <c r="J402" s="25">
        <f t="shared" si="5"/>
        <v>12760</v>
      </c>
      <c r="K402" t="str">
        <f t="shared" si="8"/>
        <v>SI</v>
      </c>
    </row>
    <row r="403" spans="1:11" x14ac:dyDescent="0.35">
      <c r="A403" s="33">
        <v>43334</v>
      </c>
      <c r="B403" s="22" t="s">
        <v>82</v>
      </c>
      <c r="C403" s="22" t="s">
        <v>58</v>
      </c>
      <c r="D403" s="22" t="s">
        <v>77</v>
      </c>
      <c r="E403" s="22" t="s">
        <v>62</v>
      </c>
      <c r="F403" s="22" t="s">
        <v>63</v>
      </c>
      <c r="G403" s="22" t="s">
        <v>52</v>
      </c>
      <c r="H403" s="23">
        <v>249</v>
      </c>
      <c r="I403" s="24">
        <v>25</v>
      </c>
      <c r="J403" s="25">
        <f t="shared" si="5"/>
        <v>6225</v>
      </c>
      <c r="K403" t="str">
        <f t="shared" si="8"/>
        <v>SI</v>
      </c>
    </row>
    <row r="404" spans="1:11" x14ac:dyDescent="0.35">
      <c r="A404" s="33">
        <v>43334</v>
      </c>
      <c r="B404" s="22" t="s">
        <v>86</v>
      </c>
      <c r="C404" s="22" t="s">
        <v>101</v>
      </c>
      <c r="D404" s="22" t="s">
        <v>87</v>
      </c>
      <c r="E404" s="22" t="s">
        <v>50</v>
      </c>
      <c r="F404" s="22" t="s">
        <v>81</v>
      </c>
      <c r="G404" s="22" t="s">
        <v>52</v>
      </c>
      <c r="H404" s="23">
        <v>195</v>
      </c>
      <c r="I404" s="24">
        <v>10</v>
      </c>
      <c r="J404" s="25">
        <f t="shared" si="5"/>
        <v>1950</v>
      </c>
      <c r="K404" t="str">
        <f t="shared" si="8"/>
        <v>SI</v>
      </c>
    </row>
    <row r="405" spans="1:11" x14ac:dyDescent="0.35">
      <c r="A405" s="33">
        <v>43334</v>
      </c>
      <c r="B405" s="22" t="s">
        <v>91</v>
      </c>
      <c r="C405" s="22" t="s">
        <v>71</v>
      </c>
      <c r="D405" s="22" t="s">
        <v>92</v>
      </c>
      <c r="E405" s="22" t="s">
        <v>50</v>
      </c>
      <c r="F405" s="22" t="s">
        <v>85</v>
      </c>
      <c r="G405" s="22" t="s">
        <v>57</v>
      </c>
      <c r="H405" s="23">
        <v>139</v>
      </c>
      <c r="I405" s="24">
        <v>45</v>
      </c>
      <c r="J405" s="25">
        <f t="shared" si="5"/>
        <v>6255</v>
      </c>
      <c r="K405" t="str">
        <f t="shared" si="8"/>
        <v>SI</v>
      </c>
    </row>
    <row r="406" spans="1:11" x14ac:dyDescent="0.35">
      <c r="A406" s="33">
        <v>43334</v>
      </c>
      <c r="B406" s="22" t="s">
        <v>91</v>
      </c>
      <c r="C406" s="22" t="s">
        <v>69</v>
      </c>
      <c r="D406" s="22" t="s">
        <v>92</v>
      </c>
      <c r="E406" s="22" t="s">
        <v>67</v>
      </c>
      <c r="F406" s="22" t="s">
        <v>68</v>
      </c>
      <c r="G406" s="22" t="s">
        <v>57</v>
      </c>
      <c r="H406" s="23">
        <v>129</v>
      </c>
      <c r="I406" s="24">
        <v>10</v>
      </c>
      <c r="J406" s="25">
        <f t="shared" si="5"/>
        <v>1290</v>
      </c>
      <c r="K406" t="str">
        <f t="shared" si="8"/>
        <v>SI</v>
      </c>
    </row>
    <row r="407" spans="1:11" x14ac:dyDescent="0.35">
      <c r="A407" s="33">
        <v>43334</v>
      </c>
      <c r="B407" s="22" t="s">
        <v>91</v>
      </c>
      <c r="C407" s="22" t="s">
        <v>58</v>
      </c>
      <c r="D407" s="22" t="s">
        <v>92</v>
      </c>
      <c r="E407" s="22" t="s">
        <v>62</v>
      </c>
      <c r="F407" s="22" t="s">
        <v>63</v>
      </c>
      <c r="G407" s="22" t="s">
        <v>52</v>
      </c>
      <c r="H407" s="23">
        <v>129</v>
      </c>
      <c r="I407" s="24">
        <v>10</v>
      </c>
      <c r="J407" s="25">
        <f t="shared" si="5"/>
        <v>1290</v>
      </c>
      <c r="K407" t="str">
        <f t="shared" si="8"/>
        <v>SI</v>
      </c>
    </row>
    <row r="408" spans="1:11" x14ac:dyDescent="0.35">
      <c r="A408" s="33">
        <v>43334</v>
      </c>
      <c r="B408" s="22" t="s">
        <v>91</v>
      </c>
      <c r="C408" s="22" t="s">
        <v>58</v>
      </c>
      <c r="D408" s="22" t="s">
        <v>92</v>
      </c>
      <c r="E408" s="22" t="s">
        <v>59</v>
      </c>
      <c r="F408" s="22" t="s">
        <v>60</v>
      </c>
      <c r="G408" s="22" t="s">
        <v>57</v>
      </c>
      <c r="H408" s="23">
        <v>129</v>
      </c>
      <c r="I408" s="24">
        <v>10</v>
      </c>
      <c r="J408" s="25">
        <f t="shared" si="5"/>
        <v>1290</v>
      </c>
      <c r="K408" t="str">
        <f t="shared" si="8"/>
        <v>SI</v>
      </c>
    </row>
    <row r="409" spans="1:11" x14ac:dyDescent="0.35">
      <c r="A409" s="33">
        <v>43334</v>
      </c>
      <c r="B409" s="27" t="s">
        <v>91</v>
      </c>
      <c r="C409" s="27" t="s">
        <v>64</v>
      </c>
      <c r="D409" s="27" t="s">
        <v>92</v>
      </c>
      <c r="E409" s="27" t="s">
        <v>72</v>
      </c>
      <c r="F409" s="27" t="s">
        <v>73</v>
      </c>
      <c r="G409" s="27" t="s">
        <v>52</v>
      </c>
      <c r="H409" s="28">
        <v>129</v>
      </c>
      <c r="I409" s="29">
        <v>35</v>
      </c>
      <c r="J409" s="30">
        <f t="shared" si="5"/>
        <v>4515</v>
      </c>
      <c r="K409" t="str">
        <f t="shared" si="8"/>
        <v>SI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39F3-F10B-4FCF-89FE-593EAA21F905}">
  <dimension ref="A2:I41"/>
  <sheetViews>
    <sheetView topLeftCell="B22" workbookViewId="0">
      <selection activeCell="F24" sqref="F24:F41"/>
    </sheetView>
  </sheetViews>
  <sheetFormatPr baseColWidth="10" defaultRowHeight="14.5" x14ac:dyDescent="0.35"/>
  <cols>
    <col min="1" max="1" width="16.54296875" bestFit="1" customWidth="1"/>
    <col min="2" max="3" width="12.7265625" bestFit="1" customWidth="1"/>
    <col min="4" max="5" width="16.54296875" bestFit="1" customWidth="1"/>
    <col min="6" max="6" width="22.26953125" bestFit="1" customWidth="1"/>
    <col min="7" max="7" width="16.08984375" bestFit="1" customWidth="1"/>
    <col min="8" max="8" width="12.7265625" bestFit="1" customWidth="1"/>
    <col min="9" max="9" width="36.6328125" bestFit="1" customWidth="1"/>
  </cols>
  <sheetData>
    <row r="2" spans="1:9" x14ac:dyDescent="0.35">
      <c r="A2" s="34" t="s">
        <v>120</v>
      </c>
      <c r="B2" t="s">
        <v>118</v>
      </c>
      <c r="D2" s="34" t="s">
        <v>120</v>
      </c>
      <c r="E2" t="s">
        <v>119</v>
      </c>
      <c r="G2" t="s">
        <v>118</v>
      </c>
      <c r="H2" t="s">
        <v>119</v>
      </c>
      <c r="I2" t="s">
        <v>129</v>
      </c>
    </row>
    <row r="3" spans="1:9" x14ac:dyDescent="0.35">
      <c r="A3" s="37" t="s">
        <v>73</v>
      </c>
      <c r="B3" s="35">
        <v>382443</v>
      </c>
      <c r="D3" s="37" t="s">
        <v>83</v>
      </c>
      <c r="E3" s="36">
        <v>151</v>
      </c>
      <c r="G3" s="41">
        <v>6461271</v>
      </c>
      <c r="H3" s="36">
        <v>8398</v>
      </c>
      <c r="I3" s="41">
        <v>769.38211478923552</v>
      </c>
    </row>
    <row r="4" spans="1:9" x14ac:dyDescent="0.35">
      <c r="A4" s="37" t="s">
        <v>78</v>
      </c>
      <c r="B4" s="35">
        <v>356018</v>
      </c>
      <c r="D4" s="37" t="s">
        <v>56</v>
      </c>
      <c r="E4" s="36">
        <v>261</v>
      </c>
    </row>
    <row r="5" spans="1:9" x14ac:dyDescent="0.35">
      <c r="A5" s="37" t="s">
        <v>56</v>
      </c>
      <c r="B5" s="35">
        <v>253969</v>
      </c>
      <c r="D5" s="37" t="s">
        <v>81</v>
      </c>
      <c r="E5" s="36">
        <v>341</v>
      </c>
    </row>
    <row r="6" spans="1:9" x14ac:dyDescent="0.35">
      <c r="A6" s="37" t="s">
        <v>68</v>
      </c>
      <c r="B6" s="35">
        <v>376316</v>
      </c>
      <c r="D6" s="37" t="s">
        <v>78</v>
      </c>
      <c r="E6" s="36">
        <v>362</v>
      </c>
      <c r="G6" s="34" t="s">
        <v>120</v>
      </c>
      <c r="H6" t="s">
        <v>118</v>
      </c>
    </row>
    <row r="7" spans="1:9" x14ac:dyDescent="0.35">
      <c r="A7" s="37" t="s">
        <v>85</v>
      </c>
      <c r="B7" s="35">
        <v>419230</v>
      </c>
      <c r="D7" s="37" t="s">
        <v>60</v>
      </c>
      <c r="E7" s="36">
        <v>369</v>
      </c>
      <c r="G7" s="37" t="s">
        <v>57</v>
      </c>
      <c r="H7" s="38">
        <v>3706843</v>
      </c>
    </row>
    <row r="8" spans="1:9" x14ac:dyDescent="0.35">
      <c r="A8" s="37" t="s">
        <v>65</v>
      </c>
      <c r="B8" s="35">
        <v>341962</v>
      </c>
      <c r="D8" s="37" t="s">
        <v>88</v>
      </c>
      <c r="E8" s="36">
        <v>382</v>
      </c>
      <c r="G8" s="37" t="s">
        <v>52</v>
      </c>
      <c r="H8" s="38">
        <v>2754428</v>
      </c>
    </row>
    <row r="9" spans="1:9" x14ac:dyDescent="0.35">
      <c r="A9" s="37" t="s">
        <v>83</v>
      </c>
      <c r="B9" s="35">
        <v>100734</v>
      </c>
      <c r="D9" s="37" t="s">
        <v>99</v>
      </c>
      <c r="E9" s="36">
        <v>431</v>
      </c>
      <c r="G9" s="37" t="s">
        <v>121</v>
      </c>
      <c r="H9" s="38">
        <v>6461271</v>
      </c>
    </row>
    <row r="10" spans="1:9" x14ac:dyDescent="0.35">
      <c r="A10" s="37" t="s">
        <v>79</v>
      </c>
      <c r="B10" s="35">
        <v>414845</v>
      </c>
      <c r="D10" s="37" t="s">
        <v>68</v>
      </c>
      <c r="E10" s="36">
        <v>434</v>
      </c>
    </row>
    <row r="11" spans="1:9" x14ac:dyDescent="0.35">
      <c r="A11" s="37" t="s">
        <v>51</v>
      </c>
      <c r="B11" s="35">
        <v>527633</v>
      </c>
      <c r="D11" s="37" t="s">
        <v>65</v>
      </c>
      <c r="E11" s="36">
        <v>471</v>
      </c>
    </row>
    <row r="12" spans="1:9" x14ac:dyDescent="0.35">
      <c r="A12" s="37" t="s">
        <v>99</v>
      </c>
      <c r="B12" s="35">
        <v>320279</v>
      </c>
      <c r="D12" s="37" t="s">
        <v>79</v>
      </c>
      <c r="E12" s="36">
        <v>475</v>
      </c>
    </row>
    <row r="13" spans="1:9" x14ac:dyDescent="0.35">
      <c r="A13" s="37" t="s">
        <v>70</v>
      </c>
      <c r="B13" s="35">
        <v>503623</v>
      </c>
      <c r="D13" s="37" t="s">
        <v>73</v>
      </c>
      <c r="E13" s="36">
        <v>512</v>
      </c>
      <c r="G13" t="s">
        <v>118</v>
      </c>
    </row>
    <row r="14" spans="1:9" x14ac:dyDescent="0.35">
      <c r="A14" s="37" t="s">
        <v>88</v>
      </c>
      <c r="B14" s="35">
        <v>165504</v>
      </c>
      <c r="D14" s="37" t="s">
        <v>70</v>
      </c>
      <c r="E14" s="36">
        <v>542</v>
      </c>
      <c r="G14" s="41">
        <v>6461271</v>
      </c>
    </row>
    <row r="15" spans="1:9" x14ac:dyDescent="0.35">
      <c r="A15" s="37" t="s">
        <v>63</v>
      </c>
      <c r="B15" s="35">
        <v>829295</v>
      </c>
      <c r="D15" s="37" t="s">
        <v>51</v>
      </c>
      <c r="E15" s="36">
        <v>573</v>
      </c>
    </row>
    <row r="16" spans="1:9" x14ac:dyDescent="0.35">
      <c r="A16" s="37" t="s">
        <v>84</v>
      </c>
      <c r="B16" s="35">
        <v>443843</v>
      </c>
      <c r="D16" s="37" t="s">
        <v>84</v>
      </c>
      <c r="E16" s="36">
        <v>627</v>
      </c>
    </row>
    <row r="17" spans="1:7" x14ac:dyDescent="0.35">
      <c r="A17" s="37" t="s">
        <v>81</v>
      </c>
      <c r="B17" s="35">
        <v>229165</v>
      </c>
      <c r="D17" s="37" t="s">
        <v>85</v>
      </c>
      <c r="E17" s="36">
        <v>655</v>
      </c>
      <c r="G17" t="s">
        <v>119</v>
      </c>
    </row>
    <row r="18" spans="1:7" x14ac:dyDescent="0.35">
      <c r="A18" s="37" t="s">
        <v>75</v>
      </c>
      <c r="B18" s="35">
        <v>459363</v>
      </c>
      <c r="D18" s="37" t="s">
        <v>75</v>
      </c>
      <c r="E18" s="36">
        <v>697</v>
      </c>
      <c r="G18" s="36">
        <v>8398</v>
      </c>
    </row>
    <row r="19" spans="1:7" x14ac:dyDescent="0.35">
      <c r="A19" s="37" t="s">
        <v>60</v>
      </c>
      <c r="B19" s="35">
        <v>337049</v>
      </c>
      <c r="D19" s="37" t="s">
        <v>63</v>
      </c>
      <c r="E19" s="36">
        <v>1115</v>
      </c>
    </row>
    <row r="20" spans="1:7" x14ac:dyDescent="0.35">
      <c r="A20" s="37" t="s">
        <v>121</v>
      </c>
      <c r="B20" s="35">
        <v>6461271</v>
      </c>
      <c r="D20" s="37" t="s">
        <v>121</v>
      </c>
      <c r="E20" s="36">
        <v>8398</v>
      </c>
    </row>
    <row r="23" spans="1:7" x14ac:dyDescent="0.35">
      <c r="B23" s="34" t="s">
        <v>120</v>
      </c>
      <c r="C23" t="s">
        <v>118</v>
      </c>
      <c r="E23" s="34" t="s">
        <v>120</v>
      </c>
      <c r="F23" t="s">
        <v>127</v>
      </c>
    </row>
    <row r="24" spans="1:7" x14ac:dyDescent="0.35">
      <c r="B24" s="37" t="s">
        <v>63</v>
      </c>
      <c r="C24" s="41">
        <v>829295</v>
      </c>
      <c r="E24" s="37" t="s">
        <v>73</v>
      </c>
      <c r="F24" s="63">
        <v>746.958984375</v>
      </c>
    </row>
    <row r="25" spans="1:7" x14ac:dyDescent="0.35">
      <c r="B25" s="37" t="s">
        <v>51</v>
      </c>
      <c r="C25" s="41">
        <v>527633</v>
      </c>
      <c r="E25" s="37" t="s">
        <v>78</v>
      </c>
      <c r="F25" s="63">
        <v>983.47513812154693</v>
      </c>
    </row>
    <row r="26" spans="1:7" x14ac:dyDescent="0.35">
      <c r="B26" s="37" t="s">
        <v>70</v>
      </c>
      <c r="C26" s="41">
        <v>503623</v>
      </c>
      <c r="E26" s="37" t="s">
        <v>56</v>
      </c>
      <c r="F26" s="63">
        <v>973.06130268199229</v>
      </c>
    </row>
    <row r="27" spans="1:7" x14ac:dyDescent="0.35">
      <c r="B27" s="37" t="s">
        <v>75</v>
      </c>
      <c r="C27" s="41">
        <v>459363</v>
      </c>
      <c r="E27" s="37" t="s">
        <v>68</v>
      </c>
      <c r="F27" s="63">
        <v>867.08755760368661</v>
      </c>
    </row>
    <row r="28" spans="1:7" x14ac:dyDescent="0.35">
      <c r="B28" s="37" t="s">
        <v>84</v>
      </c>
      <c r="C28" s="41">
        <v>443843</v>
      </c>
      <c r="E28" s="37" t="s">
        <v>85</v>
      </c>
      <c r="F28" s="63">
        <v>640.04580152671758</v>
      </c>
    </row>
    <row r="29" spans="1:7" x14ac:dyDescent="0.35">
      <c r="B29" s="37" t="s">
        <v>85</v>
      </c>
      <c r="C29" s="41">
        <v>419230</v>
      </c>
      <c r="E29" s="37" t="s">
        <v>65</v>
      </c>
      <c r="F29" s="63">
        <v>726.03397027600852</v>
      </c>
    </row>
    <row r="30" spans="1:7" x14ac:dyDescent="0.35">
      <c r="B30" s="37" t="s">
        <v>79</v>
      </c>
      <c r="C30" s="41">
        <v>414845</v>
      </c>
      <c r="E30" s="37" t="s">
        <v>83</v>
      </c>
      <c r="F30" s="63">
        <v>667.11258278145692</v>
      </c>
    </row>
    <row r="31" spans="1:7" x14ac:dyDescent="0.35">
      <c r="B31" s="37" t="s">
        <v>73</v>
      </c>
      <c r="C31" s="41">
        <v>382443</v>
      </c>
      <c r="E31" s="37" t="s">
        <v>79</v>
      </c>
      <c r="F31" s="63">
        <v>873.35789473684213</v>
      </c>
    </row>
    <row r="32" spans="1:7" x14ac:dyDescent="0.35">
      <c r="B32" s="37" t="s">
        <v>68</v>
      </c>
      <c r="C32" s="41">
        <v>376316</v>
      </c>
      <c r="E32" s="37" t="s">
        <v>51</v>
      </c>
      <c r="F32" s="63">
        <v>920.82547993019193</v>
      </c>
    </row>
    <row r="33" spans="2:6" x14ac:dyDescent="0.35">
      <c r="B33" s="37" t="s">
        <v>78</v>
      </c>
      <c r="C33" s="41">
        <v>356018</v>
      </c>
      <c r="E33" s="37" t="s">
        <v>99</v>
      </c>
      <c r="F33" s="63">
        <v>743.10672853828305</v>
      </c>
    </row>
    <row r="34" spans="2:6" x14ac:dyDescent="0.35">
      <c r="B34" s="37" t="s">
        <v>65</v>
      </c>
      <c r="C34" s="41">
        <v>341962</v>
      </c>
      <c r="E34" s="37" t="s">
        <v>70</v>
      </c>
      <c r="F34" s="63">
        <v>929.19372693726939</v>
      </c>
    </row>
    <row r="35" spans="2:6" x14ac:dyDescent="0.35">
      <c r="B35" s="37" t="s">
        <v>60</v>
      </c>
      <c r="C35" s="41">
        <v>337049</v>
      </c>
      <c r="E35" s="37" t="s">
        <v>88</v>
      </c>
      <c r="F35" s="63">
        <v>433.25654450261783</v>
      </c>
    </row>
    <row r="36" spans="2:6" x14ac:dyDescent="0.35">
      <c r="B36" s="37" t="s">
        <v>99</v>
      </c>
      <c r="C36" s="41">
        <v>320279</v>
      </c>
      <c r="E36" s="37" t="s">
        <v>63</v>
      </c>
      <c r="F36" s="63">
        <v>743.76233183856505</v>
      </c>
    </row>
    <row r="37" spans="2:6" x14ac:dyDescent="0.35">
      <c r="B37" s="37" t="s">
        <v>56</v>
      </c>
      <c r="C37" s="41">
        <v>253969</v>
      </c>
      <c r="E37" s="37" t="s">
        <v>84</v>
      </c>
      <c r="F37" s="63">
        <v>707.88357256778306</v>
      </c>
    </row>
    <row r="38" spans="2:6" x14ac:dyDescent="0.35">
      <c r="B38" s="37" t="s">
        <v>81</v>
      </c>
      <c r="C38" s="41">
        <v>229165</v>
      </c>
      <c r="E38" s="37" t="s">
        <v>81</v>
      </c>
      <c r="F38" s="63">
        <v>672.03812316715539</v>
      </c>
    </row>
    <row r="39" spans="2:6" x14ac:dyDescent="0.35">
      <c r="B39" s="37" t="s">
        <v>88</v>
      </c>
      <c r="C39" s="41">
        <v>165504</v>
      </c>
      <c r="E39" s="37" t="s">
        <v>75</v>
      </c>
      <c r="F39" s="63">
        <v>659.05738880918216</v>
      </c>
    </row>
    <row r="40" spans="2:6" x14ac:dyDescent="0.35">
      <c r="B40" s="37" t="s">
        <v>83</v>
      </c>
      <c r="C40" s="41">
        <v>100734</v>
      </c>
      <c r="E40" s="37" t="s">
        <v>60</v>
      </c>
      <c r="F40" s="63">
        <v>913.41192411924123</v>
      </c>
    </row>
    <row r="41" spans="2:6" x14ac:dyDescent="0.35">
      <c r="B41" s="37" t="s">
        <v>121</v>
      </c>
      <c r="C41" s="41">
        <v>6461271</v>
      </c>
      <c r="E41" s="37" t="s">
        <v>121</v>
      </c>
      <c r="F41" s="63">
        <v>769.38211478923552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3849-D986-4759-8793-45CD5703E9E9}">
  <dimension ref="B1:H3"/>
  <sheetViews>
    <sheetView tabSelected="1" zoomScale="60" zoomScaleNormal="60" workbookViewId="0">
      <selection activeCell="N5" sqref="N5"/>
    </sheetView>
  </sheetViews>
  <sheetFormatPr baseColWidth="10" defaultRowHeight="14.5" x14ac:dyDescent="0.35"/>
  <cols>
    <col min="1" max="1" width="10.90625" style="43"/>
    <col min="2" max="2" width="38" style="43" customWidth="1"/>
    <col min="3" max="3" width="10.90625" style="43"/>
    <col min="4" max="4" width="34.08984375" style="43" customWidth="1"/>
    <col min="5" max="5" width="19.7265625" style="43" customWidth="1"/>
    <col min="6" max="6" width="19.1796875" style="43" customWidth="1"/>
    <col min="7" max="7" width="10.90625" style="43"/>
    <col min="8" max="8" width="23.54296875" style="43" customWidth="1"/>
    <col min="9" max="16384" width="10.90625" style="43"/>
  </cols>
  <sheetData>
    <row r="1" spans="2:8" ht="23" x14ac:dyDescent="0.5">
      <c r="B1" s="42" t="s">
        <v>123</v>
      </c>
      <c r="E1" s="42" t="s">
        <v>124</v>
      </c>
      <c r="H1" s="42" t="s">
        <v>125</v>
      </c>
    </row>
    <row r="3" spans="2:8" ht="65" customHeight="1" x14ac:dyDescent="0.35">
      <c r="B3" s="44">
        <f>GETPIVOTDATA("Total",'Tablas dinámicas comercial'!$E$3)</f>
        <v>6461271</v>
      </c>
      <c r="E3" s="45">
        <f>GETPIVOTDATA("Cantidad",'Tablas dinámicas comercial'!$E$8)</f>
        <v>8398</v>
      </c>
      <c r="H3" s="44">
        <f>GETPIVOTDATA("Suma de Ticket Promedio",'Tablas dinámicas comercial'!$E$15)</f>
        <v>769.38211478923552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5F2B-B351-419B-9705-006BE050D719}">
  <dimension ref="B1:M3"/>
  <sheetViews>
    <sheetView showGridLines="0" zoomScale="60" zoomScaleNormal="60" workbookViewId="0">
      <selection activeCell="V32" sqref="V32"/>
    </sheetView>
  </sheetViews>
  <sheetFormatPr baseColWidth="10" defaultRowHeight="16.5" x14ac:dyDescent="0.45"/>
  <cols>
    <col min="1" max="3" width="10.90625" style="53"/>
    <col min="4" max="4" width="20.1796875" style="53" customWidth="1"/>
    <col min="5" max="5" width="10.90625" style="53"/>
    <col min="6" max="6" width="19.1796875" style="53" customWidth="1"/>
    <col min="7" max="7" width="19.7265625" style="53" customWidth="1"/>
    <col min="8" max="8" width="18.54296875" style="53" customWidth="1"/>
    <col min="9" max="9" width="10.90625" style="53"/>
    <col min="10" max="10" width="18.453125" style="53" customWidth="1"/>
    <col min="11" max="16384" width="10.90625" style="53"/>
  </cols>
  <sheetData>
    <row r="1" spans="2:13" ht="21.5" thickBot="1" x14ac:dyDescent="0.6">
      <c r="C1" s="52"/>
      <c r="D1" s="52"/>
      <c r="E1" s="52"/>
      <c r="F1" s="52"/>
      <c r="G1" s="52"/>
      <c r="H1" s="52"/>
      <c r="I1" s="52"/>
      <c r="J1" s="52"/>
    </row>
    <row r="2" spans="2:13" ht="39.5" x14ac:dyDescent="0.95">
      <c r="B2" s="54" t="s">
        <v>131</v>
      </c>
      <c r="C2" s="55"/>
      <c r="D2" s="55"/>
      <c r="E2" s="56"/>
      <c r="F2" s="54" t="s">
        <v>130</v>
      </c>
      <c r="G2" s="55"/>
      <c r="H2" s="56"/>
      <c r="I2" s="54" t="s">
        <v>122</v>
      </c>
      <c r="J2" s="55"/>
      <c r="K2" s="55"/>
      <c r="L2" s="55"/>
      <c r="M2" s="56"/>
    </row>
    <row r="3" spans="2:13" ht="40" thickBot="1" x14ac:dyDescent="1">
      <c r="B3" s="57">
        <f>GETPIVOTDATA("Suma de Total",'Tablas dinámicas vendedores'!$G$2)</f>
        <v>6461271</v>
      </c>
      <c r="C3" s="58"/>
      <c r="D3" s="58"/>
      <c r="E3" s="59"/>
      <c r="F3" s="57">
        <f>GETPIVOTDATA("Cantidad",'Tablas dinámicas vendedores'!$G$17)</f>
        <v>8398</v>
      </c>
      <c r="G3" s="58"/>
      <c r="H3" s="59"/>
      <c r="I3" s="60">
        <f>GETPIVOTDATA("Suma de Promedio de venta por vendedor",'Tablas dinámicas vendedores'!$G$2)</f>
        <v>769.38211478923552</v>
      </c>
      <c r="J3" s="61"/>
      <c r="K3" s="61"/>
      <c r="L3" s="61"/>
      <c r="M3" s="62"/>
    </row>
  </sheetData>
  <mergeCells count="6">
    <mergeCell ref="B2:E2"/>
    <mergeCell ref="B3:E3"/>
    <mergeCell ref="I2:M2"/>
    <mergeCell ref="I3:M3"/>
    <mergeCell ref="F2:H2"/>
    <mergeCell ref="F3:H3"/>
  </mergeCells>
  <pageMargins left="0.25" right="0.25" top="0.75" bottom="0.75" header="0.3" footer="0.3"/>
  <pageSetup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EJERCICIO 1</vt:lpstr>
      <vt:lpstr>EJERCICIO 2</vt:lpstr>
      <vt:lpstr>EJERCICIO 3</vt:lpstr>
      <vt:lpstr>Tablas dinámicas comercial</vt:lpstr>
      <vt:lpstr>Planilla de ventas por local</vt:lpstr>
      <vt:lpstr>Tablas dinámicas vendedores</vt:lpstr>
      <vt:lpstr>Dashboard Comercial</vt:lpstr>
      <vt:lpstr>Dashboard de vendedores</vt:lpstr>
      <vt:lpstr>Cantidades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黄永行daniel</dc:creator>
  <cp:lastModifiedBy>Tamara Herrera</cp:lastModifiedBy>
  <dcterms:created xsi:type="dcterms:W3CDTF">2013-09-15T04:46:58Z</dcterms:created>
  <dcterms:modified xsi:type="dcterms:W3CDTF">2025-05-02T15:34:18Z</dcterms:modified>
</cp:coreProperties>
</file>